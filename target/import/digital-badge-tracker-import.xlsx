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oad to Diamond- Module1" sheetId="1" r:id="rId5"/>
    <sheet state="visible" name="RTD Module1 - Schedule" sheetId="2" r:id="rId6"/>
    <sheet state="visible" name="RTD Module 1 - Points Tracker" sheetId="3" r:id="rId7"/>
    <sheet state="visible" name="Rocket League Player Points" sheetId="4" r:id="rId8"/>
    <sheet state="visible" name="Defeat The Ednder Dragon - MCMo" sheetId="5" r:id="rId9"/>
    <sheet state="visible" name="DtED MCModule 1 - Points Tracke" sheetId="6" r:id="rId10"/>
    <sheet state="visible" name="Minecraft Player Points" sheetId="7" r:id="rId11"/>
  </sheets>
  <definedNames/>
  <calcPr/>
</workbook>
</file>

<file path=xl/sharedStrings.xml><?xml version="1.0" encoding="utf-8"?>
<sst xmlns="http://schemas.openxmlformats.org/spreadsheetml/2006/main" count="433" uniqueCount="131">
  <si>
    <t>Main Badge</t>
  </si>
  <si>
    <t>Sub Badge</t>
  </si>
  <si>
    <t>Points</t>
  </si>
  <si>
    <t>Description</t>
  </si>
  <si>
    <t>Skill 1</t>
  </si>
  <si>
    <t>Skill 2</t>
  </si>
  <si>
    <t>Skill 3</t>
  </si>
  <si>
    <t>Skills</t>
  </si>
  <si>
    <t>Game Mastery</t>
  </si>
  <si>
    <t>Skill Evaluation</t>
  </si>
  <si>
    <t>Take part in an individual skills evaluation session</t>
  </si>
  <si>
    <t>Confidence</t>
  </si>
  <si>
    <t>Resilience</t>
  </si>
  <si>
    <t>Decision Making</t>
  </si>
  <si>
    <t>Communication</t>
  </si>
  <si>
    <t>Master Plan</t>
  </si>
  <si>
    <t>Create a game plan in relation to drop spot, rotation and loudouts</t>
  </si>
  <si>
    <t>Planning &amp; Organising</t>
  </si>
  <si>
    <t>Problem Solving</t>
  </si>
  <si>
    <t>Working with Others</t>
  </si>
  <si>
    <t>Basic Mechanics</t>
  </si>
  <si>
    <t>Demonstrate basic mechanics</t>
  </si>
  <si>
    <t>Teamwork</t>
  </si>
  <si>
    <t>Duo Snatcher</t>
  </si>
  <si>
    <t>Contribute to team name and agree on conduct</t>
  </si>
  <si>
    <t>Creativity</t>
  </si>
  <si>
    <t>Leadership</t>
  </si>
  <si>
    <t>Tactical Minds</t>
  </si>
  <si>
    <t>Create communications stratagy</t>
  </si>
  <si>
    <t>Role Model</t>
  </si>
  <si>
    <t>Understand your role within your team</t>
  </si>
  <si>
    <t>Self-Management</t>
  </si>
  <si>
    <t>Personal Development</t>
  </si>
  <si>
    <t>Learn In Action</t>
  </si>
  <si>
    <t>Focus on previous mistakes by practising improvements in a competetive match</t>
  </si>
  <si>
    <t>Goal Scorer</t>
  </si>
  <si>
    <t>Set a new goal</t>
  </si>
  <si>
    <t>Player Performance</t>
  </si>
  <si>
    <t>Use replay review to identify mistakes in a competitive match</t>
  </si>
  <si>
    <t>Esports Citizen</t>
  </si>
  <si>
    <t>Conduct Creator</t>
  </si>
  <si>
    <t>Help create the group code of conduct</t>
  </si>
  <si>
    <t>Code Keeper</t>
  </si>
  <si>
    <t>Dont breech the group or duo conduct</t>
  </si>
  <si>
    <t>Positve Voice</t>
  </si>
  <si>
    <t>Encourage other players or teams</t>
  </si>
  <si>
    <t>Digital Literacy</t>
  </si>
  <si>
    <t>Digital skills</t>
  </si>
  <si>
    <t>Data Logger</t>
  </si>
  <si>
    <t>Record stats in digital format</t>
  </si>
  <si>
    <t>Prep Master</t>
  </si>
  <si>
    <t>use online tools to plan your strategy</t>
  </si>
  <si>
    <t>Memory Maker</t>
  </si>
  <si>
    <t>Take screenshots, clips and create notes about your journey</t>
  </si>
  <si>
    <t>End Of The Road</t>
  </si>
  <si>
    <t>Achieve diamond rank</t>
  </si>
  <si>
    <t>Week no</t>
  </si>
  <si>
    <t>Session Focus</t>
  </si>
  <si>
    <t>Sub-badge</t>
  </si>
  <si>
    <t>Link To Session Plan</t>
  </si>
  <si>
    <t>Link to Session Slides</t>
  </si>
  <si>
    <t>Welcome/Settle In</t>
  </si>
  <si>
    <t>Code of Conduct</t>
  </si>
  <si>
    <t>Player Evaluation</t>
  </si>
  <si>
    <t>Player evaluation cont.</t>
  </si>
  <si>
    <t>Duo Allocation</t>
  </si>
  <si>
    <t>Team Roles</t>
  </si>
  <si>
    <t>Role Player</t>
  </si>
  <si>
    <t>Practice Routines</t>
  </si>
  <si>
    <t>Drop spot &amp; Loot paths</t>
  </si>
  <si>
    <t>Goal Setting</t>
  </si>
  <si>
    <t>Stat tracking</t>
  </si>
  <si>
    <t>Ranked Grind</t>
  </si>
  <si>
    <t>End of  the Road</t>
  </si>
  <si>
    <t>Column 1</t>
  </si>
  <si>
    <t>Player 1</t>
  </si>
  <si>
    <t>Player 2</t>
  </si>
  <si>
    <t>Player 3</t>
  </si>
  <si>
    <t>Player 4</t>
  </si>
  <si>
    <t>Player 5</t>
  </si>
  <si>
    <t>Player 6</t>
  </si>
  <si>
    <t>Player 7</t>
  </si>
  <si>
    <t>Player 8</t>
  </si>
  <si>
    <t>Player 9</t>
  </si>
  <si>
    <t>Player 10</t>
  </si>
  <si>
    <t>Player 11</t>
  </si>
  <si>
    <t>Player 12</t>
  </si>
  <si>
    <t>Player 13</t>
  </si>
  <si>
    <t>Player 14</t>
  </si>
  <si>
    <t>Player 15</t>
  </si>
  <si>
    <t>Player 16</t>
  </si>
  <si>
    <t>Legacy Points</t>
  </si>
  <si>
    <t>Positive Voice</t>
  </si>
  <si>
    <t>End of The Road</t>
  </si>
  <si>
    <t>TOTAL</t>
  </si>
  <si>
    <t>Badge Cat</t>
  </si>
  <si>
    <t>game mastery</t>
  </si>
  <si>
    <t>TeamWork</t>
  </si>
  <si>
    <t>Digital Skills</t>
  </si>
  <si>
    <t>Base Builder</t>
  </si>
  <si>
    <t>Help build and set up a shared homebase (shelter, storage, food)</t>
  </si>
  <si>
    <t>Nether Ready</t>
  </si>
  <si>
    <t>Gather weapons, armour, and food to journey to the nether as listed in the team plan</t>
  </si>
  <si>
    <t>Dragon Prepared</t>
  </si>
  <si>
    <t>Understand and prepare for the Ender Dragon fight</t>
  </si>
  <si>
    <t>Team Planner</t>
  </si>
  <si>
    <t>Work with the team to come up with an plan for each stage</t>
  </si>
  <si>
    <t>Take on and stick to a team role across sessions</t>
  </si>
  <si>
    <t>Mission Teamate</t>
  </si>
  <si>
    <t>Work positively with others - adhere to the code of conduct</t>
  </si>
  <si>
    <t>Goal Setter</t>
  </si>
  <si>
    <t>Set a goal related to this challenge</t>
  </si>
  <si>
    <t>Resilient</t>
  </si>
  <si>
    <t>Keep trying after setbacks</t>
  </si>
  <si>
    <t>Reflection</t>
  </si>
  <si>
    <t>Talk about what you learned and how you improved</t>
  </si>
  <si>
    <t>World Code</t>
  </si>
  <si>
    <t>Help create the Code of Conduct</t>
  </si>
  <si>
    <t>Top Citizen</t>
  </si>
  <si>
    <t>Don't breech the code of conduct</t>
  </si>
  <si>
    <t>Supportive Teammate</t>
  </si>
  <si>
    <t>Support another player to fulfill their role</t>
  </si>
  <si>
    <t>Document Designer</t>
  </si>
  <si>
    <t>Create a digital version of your team's plan</t>
  </si>
  <si>
    <t>Research Ranger</t>
  </si>
  <si>
    <t>Carry out online research to support your team's plan</t>
  </si>
  <si>
    <t>Storyteller</t>
  </si>
  <si>
    <t>Dragon Slayer</t>
  </si>
  <si>
    <t>Kill the ender dragon and complete the game</t>
  </si>
  <si>
    <t>Completed It First</t>
  </si>
  <si>
    <t>Complete the game before the other team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</si>
</sst>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sz val="10.0"/>
      <color theme="1"/>
      <name val="Arial"/>
      <scheme val="minor"/>
    </font>
    <font>
      <sz val="10.0"/>
      <color theme="1"/>
      <name val="Arial"/>
    </font>
    <font>
      <color rgb="FF000000"/>
      <name val="Arial"/>
      <scheme val="minor"/>
    </font>
    <font>
      <color rgb="FFF6F8F9"/>
      <name val="Arial"/>
    </font>
    <font>
      <color rgb="FFFFFFFF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2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2" fontId="2" numFmtId="0" xfId="0" applyAlignment="1" applyFill="1" applyFont="1">
      <alignment readingOrder="0" shrinkToFit="0" vertical="center" wrapText="0"/>
    </xf>
    <xf borderId="0" fillId="0" fontId="2" numFmtId="0" xfId="0" applyFont="1"/>
    <xf borderId="0" fillId="2" fontId="2" numFmtId="0" xfId="0" applyFont="1"/>
    <xf borderId="0" fillId="0" fontId="3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center" wrapText="0"/>
    </xf>
    <xf borderId="0" fillId="0" fontId="4" numFmtId="0" xfId="0" applyAlignment="1" applyFont="1">
      <alignment horizontal="left" readingOrder="0" shrinkToFit="0" vertical="bottom" wrapText="0"/>
    </xf>
    <xf borderId="0" fillId="0" fontId="5" numFmtId="0" xfId="0" applyAlignment="1" applyFont="1">
      <alignment readingOrder="0" shrinkToFit="0" vertical="center" wrapText="0"/>
    </xf>
    <xf borderId="0" fillId="0" fontId="4" numFmtId="0" xfId="0" applyAlignment="1" applyFont="1">
      <alignment readingOrder="0" shrinkToFit="0" vertical="center" wrapText="0"/>
    </xf>
    <xf borderId="0" fillId="2" fontId="6" numFmtId="0" xfId="0" applyAlignment="1" applyFont="1">
      <alignment shrinkToFit="0" vertical="bottom" wrapText="0"/>
    </xf>
    <xf borderId="0" fillId="0" fontId="7" numFmtId="0" xfId="0" applyAlignment="1" applyFont="1">
      <alignment shrinkToFit="0" vertical="center" wrapText="0"/>
    </xf>
    <xf borderId="0" fillId="2" fontId="8" numFmtId="0" xfId="0" applyAlignment="1" applyFont="1">
      <alignment readingOrder="0" shrinkToFit="0" vertical="bottom" wrapText="0"/>
    </xf>
    <xf borderId="0" fillId="0" fontId="5" numFmtId="0" xfId="0" applyAlignment="1" applyFont="1">
      <alignment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5" numFmtId="0" xfId="0" applyAlignment="1" applyFont="1">
      <alignment readingOrder="0" shrinkToFit="0" vertical="center" wrapText="0"/>
    </xf>
    <xf borderId="0" fillId="0" fontId="5" numFmtId="0" xfId="0" applyFont="1"/>
    <xf borderId="0" fillId="2" fontId="8" numFmtId="0" xfId="0" applyAlignment="1" applyFont="1">
      <alignment vertical="bottom"/>
    </xf>
    <xf borderId="0" fillId="0" fontId="7" numFmtId="0" xfId="0" applyFont="1"/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shrinkToFit="0" vertical="center" wrapText="0"/>
    </xf>
  </cellXfs>
  <cellStyles count="1">
    <cellStyle xfId="0" name="Normal" builtinId="0"/>
  </cellStyles>
  <dxfs count="9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ont/>
      <fill>
        <patternFill patternType="solid">
          <fgColor rgb="FFDD7E6B"/>
          <bgColor rgb="FFDD7E6B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BF9000"/>
          <bgColor rgb="FFBF9000"/>
        </patternFill>
      </fill>
      <border/>
    </dxf>
  </dxfs>
  <tableStyles count="7">
    <tableStyle count="4" pivot="0" name="Road to Diamond- Module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TD Module1 - Schedul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TD Module 1 - Points Track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Rocket League Player Point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feat The Ednder Dragon - MCMo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tED MCModule 1 - Points Track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Minecraft Player Point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G17" displayName="RTD_Subbadges" name="RTD_Subbadges" id="1">
  <tableColumns count="7">
    <tableColumn name="Main Badge" id="1"/>
    <tableColumn name="Sub Badge" id="2"/>
    <tableColumn name="Points" id="3"/>
    <tableColumn name="Description" id="4"/>
    <tableColumn name="Skill 1" id="5"/>
    <tableColumn name="Skill 2" id="6"/>
    <tableColumn name="Skill 3" id="7"/>
  </tableColumns>
  <tableStyleInfo name="Road to Diamond- Module1-style" showColumnStripes="0" showFirstColumn="1" showLastColumn="1" showRowStripes="1"/>
</table>
</file>

<file path=xl/tables/table2.xml><?xml version="1.0" encoding="utf-8"?>
<table xmlns="http://schemas.openxmlformats.org/spreadsheetml/2006/main" ref="A1:E13" displayName="RTD_Schedule" name="RTD_Schedule" id="2">
  <tableColumns count="5">
    <tableColumn name="Week no" id="1"/>
    <tableColumn name="Session Focus" id="2"/>
    <tableColumn name="Sub-badge" id="3"/>
    <tableColumn name="Link To Session Plan" id="4"/>
    <tableColumn name="Link to Session Slides" id="5"/>
  </tableColumns>
  <tableStyleInfo name="RTD Module1 - Schedule-style" showColumnStripes="0" showFirstColumn="1" showLastColumn="1" showRowStripes="1"/>
</table>
</file>

<file path=xl/tables/table3.xml><?xml version="1.0" encoding="utf-8"?>
<table xmlns="http://schemas.openxmlformats.org/spreadsheetml/2006/main" ref="A2:S24" displayName="RTD_Group_1_Points" name="RTD_Group_1_Points" id="3">
  <tableColumns count="19">
    <tableColumn name="Column 1" id="1"/>
    <tableColumn name="Sub Badge" id="2"/>
    <tableColumn name="Points" id="3"/>
    <tableColumn name="Player 1" id="4"/>
    <tableColumn name="Player 2" id="5"/>
    <tableColumn name="Player 3" id="6"/>
    <tableColumn name="Player 4" id="7"/>
    <tableColumn name="Player 5" id="8"/>
    <tableColumn name="Player 6" id="9"/>
    <tableColumn name="Player 7" id="10"/>
    <tableColumn name="Player 8" id="11"/>
    <tableColumn name="Player 9" id="12"/>
    <tableColumn name="Player 10" id="13"/>
    <tableColumn name="Player 11" id="14"/>
    <tableColumn name="Player 12" id="15"/>
    <tableColumn name="Player 13" id="16"/>
    <tableColumn name="Player 14" id="17"/>
    <tableColumn name="Player 15" id="18"/>
    <tableColumn name="Player 16" id="19"/>
  </tableColumns>
  <tableStyleInfo name="RTD Module 1 - Points Tracker-style" showColumnStripes="0" showFirstColumn="1" showLastColumn="1" showRowStripes="1"/>
</table>
</file>

<file path=xl/tables/table4.xml><?xml version="1.0" encoding="utf-8"?>
<table xmlns="http://schemas.openxmlformats.org/spreadsheetml/2006/main" ref="A2:Q7" displayName="RL_Group_1_Player_Points" name="RL_Group_1_Player_Points" id="4">
  <tableColumns count="17">
    <tableColumn name="Badge Cat" id="1"/>
    <tableColumn name="Player 1" id="2"/>
    <tableColumn name="Player 2" id="3"/>
    <tableColumn name="Player 3" id="4"/>
    <tableColumn name="Player 4" id="5"/>
    <tableColumn name="Player 5" id="6"/>
    <tableColumn name="Player 6" id="7"/>
    <tableColumn name="Player 7" id="8"/>
    <tableColumn name="Player 8" id="9"/>
    <tableColumn name="Player 9" id="10"/>
    <tableColumn name="Player 10" id="11"/>
    <tableColumn name="Player 11" id="12"/>
    <tableColumn name="Player 12" id="13"/>
    <tableColumn name="Player 13" id="14"/>
    <tableColumn name="Player 14" id="15"/>
    <tableColumn name="Player 15" id="16"/>
    <tableColumn name="Player 16" id="17"/>
  </tableColumns>
  <tableStyleInfo name="Rocket League Player Points-style" showColumnStripes="0" showFirstColumn="1" showLastColumn="1" showRowStripes="1"/>
</table>
</file>

<file path=xl/tables/table5.xml><?xml version="1.0" encoding="utf-8"?>
<table xmlns="http://schemas.openxmlformats.org/spreadsheetml/2006/main" ref="A1:G18" displayName="DtED_Group1_Points" name="DtED_Group1_Points" id="5">
  <tableColumns count="7">
    <tableColumn name="Main Badge" id="1"/>
    <tableColumn name="Sub Badge" id="2"/>
    <tableColumn name="Points" id="3"/>
    <tableColumn name="Description" id="4"/>
    <tableColumn name="Skill 1" id="5"/>
    <tableColumn name="Skill 2" id="6"/>
    <tableColumn name="Skill 3" id="7"/>
  </tableColumns>
  <tableStyleInfo name="Defeat The Ednder Dragon - MCMo-style" showColumnStripes="0" showFirstColumn="1" showLastColumn="1" showRowStripes="1"/>
</table>
</file>

<file path=xl/tables/table6.xml><?xml version="1.0" encoding="utf-8"?>
<table xmlns="http://schemas.openxmlformats.org/spreadsheetml/2006/main" ref="A2:S24" displayName="MCGroup_1_Points" name="MCGroup_1_Points" id="6">
  <tableColumns count="19">
    <tableColumn name="Column 1" id="1"/>
    <tableColumn name="Sub Badge" id="2"/>
    <tableColumn name="Points" id="3"/>
    <tableColumn name="Player 1" id="4"/>
    <tableColumn name="Player 2" id="5"/>
    <tableColumn name="Player 3" id="6"/>
    <tableColumn name="Player 4" id="7"/>
    <tableColumn name="Player 5" id="8"/>
    <tableColumn name="Player 6" id="9"/>
    <tableColumn name="Player 7" id="10"/>
    <tableColumn name="Player 8" id="11"/>
    <tableColumn name="Player 9" id="12"/>
    <tableColumn name="Player 10" id="13"/>
    <tableColumn name="Player 11" id="14"/>
    <tableColumn name="Player 12" id="15"/>
    <tableColumn name="Player 13" id="16"/>
    <tableColumn name="Player 14" id="17"/>
    <tableColumn name="Player 15" id="18"/>
    <tableColumn name="Player 16" id="19"/>
  </tableColumns>
  <tableStyleInfo name="DtED MCModule 1 - Points Tracke-style" showColumnStripes="0" showFirstColumn="1" showLastColumn="1" showRowStripes="1"/>
</table>
</file>

<file path=xl/tables/table7.xml><?xml version="1.0" encoding="utf-8"?>
<table xmlns="http://schemas.openxmlformats.org/spreadsheetml/2006/main" ref="A2:Q7" displayName="MC_Group_1_Player_Points" name="MC_Group_1_Player_Points" id="7">
  <tableColumns count="17">
    <tableColumn name="Badge Cat" id="1"/>
    <tableColumn name="Player 1" id="2"/>
    <tableColumn name="Player 2" id="3"/>
    <tableColumn name="Player 3" id="4"/>
    <tableColumn name="Player 4" id="5"/>
    <tableColumn name="Player 5" id="6"/>
    <tableColumn name="Player 6" id="7"/>
    <tableColumn name="Player 7" id="8"/>
    <tableColumn name="Player 8" id="9"/>
    <tableColumn name="Player 9" id="10"/>
    <tableColumn name="Player 10" id="11"/>
    <tableColumn name="Player 11" id="12"/>
    <tableColumn name="Player 12" id="13"/>
    <tableColumn name="Player 13" id="14"/>
    <tableColumn name="Player 14" id="15"/>
    <tableColumn name="Player 15" id="16"/>
    <tableColumn name="Player 16" id="17"/>
  </tableColumns>
  <tableStyleInfo name="Minecraft Player Point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D9EEB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20.5"/>
    <col customWidth="1" min="3" max="3" width="10.75"/>
    <col customWidth="1" min="4" max="4" width="68.13"/>
    <col customWidth="1" min="5" max="6" width="22.5"/>
    <col customWidth="1" min="7" max="7" width="20.88"/>
    <col hidden="1" min="8" max="8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3" t="s">
        <v>9</v>
      </c>
      <c r="C2" s="4">
        <v>6.0</v>
      </c>
      <c r="D2" s="4" t="s">
        <v>10</v>
      </c>
      <c r="E2" s="3" t="s">
        <v>11</v>
      </c>
      <c r="F2" s="3" t="s">
        <v>12</v>
      </c>
      <c r="G2" s="3" t="s">
        <v>13</v>
      </c>
      <c r="H2" s="2" t="s">
        <v>14</v>
      </c>
    </row>
    <row r="3" ht="22.5" customHeight="1">
      <c r="A3" s="3" t="s">
        <v>8</v>
      </c>
      <c r="B3" s="3" t="s">
        <v>15</v>
      </c>
      <c r="C3" s="4">
        <v>6.0</v>
      </c>
      <c r="D3" s="4" t="s">
        <v>16</v>
      </c>
      <c r="E3" s="3" t="s">
        <v>17</v>
      </c>
      <c r="F3" s="3" t="s">
        <v>13</v>
      </c>
      <c r="G3" s="3" t="s">
        <v>18</v>
      </c>
      <c r="H3" s="2" t="s">
        <v>19</v>
      </c>
    </row>
    <row r="4" ht="22.5" customHeight="1">
      <c r="A4" s="3" t="s">
        <v>8</v>
      </c>
      <c r="B4" s="3" t="s">
        <v>20</v>
      </c>
      <c r="C4" s="4">
        <v>6.0</v>
      </c>
      <c r="D4" s="4" t="s">
        <v>21</v>
      </c>
      <c r="E4" s="3" t="s">
        <v>17</v>
      </c>
      <c r="F4" s="3" t="s">
        <v>13</v>
      </c>
      <c r="G4" s="3" t="s">
        <v>18</v>
      </c>
      <c r="H4" s="2"/>
    </row>
    <row r="5" ht="22.5" customHeight="1">
      <c r="A5" s="3" t="s">
        <v>22</v>
      </c>
      <c r="B5" s="3" t="s">
        <v>23</v>
      </c>
      <c r="C5" s="4">
        <v>3.0</v>
      </c>
      <c r="D5" s="4" t="s">
        <v>24</v>
      </c>
      <c r="E5" s="3" t="s">
        <v>19</v>
      </c>
      <c r="F5" s="3" t="s">
        <v>25</v>
      </c>
      <c r="G5" s="3" t="s">
        <v>11</v>
      </c>
      <c r="H5" s="2" t="s">
        <v>26</v>
      </c>
    </row>
    <row r="6" ht="22.5" customHeight="1">
      <c r="A6" s="3" t="s">
        <v>22</v>
      </c>
      <c r="B6" s="3" t="s">
        <v>27</v>
      </c>
      <c r="C6" s="4">
        <v>6.0</v>
      </c>
      <c r="D6" s="4" t="s">
        <v>28</v>
      </c>
      <c r="E6" s="3" t="s">
        <v>14</v>
      </c>
      <c r="F6" s="3" t="s">
        <v>11</v>
      </c>
      <c r="G6" s="3" t="s">
        <v>19</v>
      </c>
      <c r="H6" s="2" t="s">
        <v>17</v>
      </c>
    </row>
    <row r="7" ht="22.5" customHeight="1">
      <c r="A7" s="3" t="s">
        <v>22</v>
      </c>
      <c r="B7" s="3" t="s">
        <v>29</v>
      </c>
      <c r="C7" s="4">
        <v>6.0</v>
      </c>
      <c r="D7" s="4" t="s">
        <v>30</v>
      </c>
      <c r="E7" s="3" t="s">
        <v>19</v>
      </c>
      <c r="F7" s="3" t="s">
        <v>31</v>
      </c>
      <c r="G7" s="3" t="s">
        <v>11</v>
      </c>
      <c r="H7" s="2" t="s">
        <v>18</v>
      </c>
    </row>
    <row r="8" ht="22.5" customHeight="1">
      <c r="A8" s="3" t="s">
        <v>32</v>
      </c>
      <c r="B8" s="3" t="s">
        <v>33</v>
      </c>
      <c r="C8" s="4">
        <v>6.0</v>
      </c>
      <c r="D8" s="4" t="s">
        <v>34</v>
      </c>
      <c r="E8" s="3" t="s">
        <v>13</v>
      </c>
      <c r="F8" s="3" t="s">
        <v>11</v>
      </c>
      <c r="G8" s="3" t="s">
        <v>26</v>
      </c>
      <c r="H8" s="2" t="s">
        <v>13</v>
      </c>
    </row>
    <row r="9" ht="22.5" customHeight="1">
      <c r="A9" s="3" t="s">
        <v>32</v>
      </c>
      <c r="B9" s="3" t="s">
        <v>35</v>
      </c>
      <c r="C9" s="4">
        <v>6.0</v>
      </c>
      <c r="D9" s="4" t="s">
        <v>36</v>
      </c>
      <c r="E9" s="3" t="s">
        <v>12</v>
      </c>
      <c r="F9" s="3" t="s">
        <v>11</v>
      </c>
      <c r="G9" s="3" t="s">
        <v>31</v>
      </c>
      <c r="H9" s="2" t="s">
        <v>25</v>
      </c>
    </row>
    <row r="10" ht="22.5" customHeight="1">
      <c r="A10" s="3" t="s">
        <v>32</v>
      </c>
      <c r="B10" s="3" t="s">
        <v>37</v>
      </c>
      <c r="C10" s="4">
        <v>6.0</v>
      </c>
      <c r="D10" s="5" t="s">
        <v>38</v>
      </c>
      <c r="E10" s="3" t="s">
        <v>11</v>
      </c>
      <c r="F10" s="3" t="s">
        <v>12</v>
      </c>
      <c r="G10" s="3" t="s">
        <v>31</v>
      </c>
      <c r="H10" s="2" t="s">
        <v>11</v>
      </c>
    </row>
    <row r="11" ht="22.5" customHeight="1">
      <c r="A11" s="3" t="s">
        <v>39</v>
      </c>
      <c r="B11" s="3" t="s">
        <v>40</v>
      </c>
      <c r="C11" s="4">
        <v>6.0</v>
      </c>
      <c r="D11" s="4" t="s">
        <v>41</v>
      </c>
      <c r="E11" s="3" t="s">
        <v>19</v>
      </c>
      <c r="F11" s="3" t="s">
        <v>12</v>
      </c>
      <c r="G11" s="3" t="s">
        <v>18</v>
      </c>
      <c r="H11" s="2" t="s">
        <v>31</v>
      </c>
    </row>
    <row r="12" ht="22.5" customHeight="1">
      <c r="A12" s="3" t="s">
        <v>39</v>
      </c>
      <c r="B12" s="3" t="s">
        <v>42</v>
      </c>
      <c r="C12" s="4">
        <v>6.0</v>
      </c>
      <c r="D12" s="4" t="s">
        <v>43</v>
      </c>
      <c r="E12" s="3" t="s">
        <v>31</v>
      </c>
      <c r="F12" s="3" t="s">
        <v>12</v>
      </c>
      <c r="G12" s="3" t="s">
        <v>11</v>
      </c>
      <c r="H12" s="2" t="s">
        <v>12</v>
      </c>
    </row>
    <row r="13" ht="22.5" customHeight="1">
      <c r="A13" s="3" t="s">
        <v>39</v>
      </c>
      <c r="B13" s="3" t="s">
        <v>44</v>
      </c>
      <c r="C13" s="4">
        <v>3.0</v>
      </c>
      <c r="D13" s="5" t="s">
        <v>45</v>
      </c>
      <c r="E13" s="3" t="s">
        <v>19</v>
      </c>
      <c r="F13" s="3" t="s">
        <v>26</v>
      </c>
      <c r="G13" s="3" t="s">
        <v>11</v>
      </c>
      <c r="H13" s="2" t="s">
        <v>46</v>
      </c>
    </row>
    <row r="14" ht="22.5" customHeight="1">
      <c r="A14" s="3" t="s">
        <v>47</v>
      </c>
      <c r="B14" s="3" t="s">
        <v>48</v>
      </c>
      <c r="C14" s="4">
        <v>6.0</v>
      </c>
      <c r="D14" s="5" t="s">
        <v>49</v>
      </c>
      <c r="E14" s="3" t="s">
        <v>17</v>
      </c>
      <c r="F14" s="3" t="s">
        <v>25</v>
      </c>
      <c r="G14" s="3" t="s">
        <v>46</v>
      </c>
    </row>
    <row r="15" ht="22.5" customHeight="1">
      <c r="A15" s="3" t="s">
        <v>47</v>
      </c>
      <c r="B15" s="3" t="s">
        <v>50</v>
      </c>
      <c r="C15" s="4">
        <v>6.0</v>
      </c>
      <c r="D15" s="4" t="s">
        <v>51</v>
      </c>
      <c r="E15" s="3" t="s">
        <v>17</v>
      </c>
      <c r="F15" s="3" t="s">
        <v>46</v>
      </c>
      <c r="G15" s="3" t="s">
        <v>13</v>
      </c>
    </row>
    <row r="16" ht="22.5" customHeight="1">
      <c r="A16" s="3" t="s">
        <v>47</v>
      </c>
      <c r="B16" s="3" t="s">
        <v>52</v>
      </c>
      <c r="C16" s="4">
        <v>6.0</v>
      </c>
      <c r="D16" s="5" t="s">
        <v>53</v>
      </c>
      <c r="E16" s="3" t="s">
        <v>46</v>
      </c>
      <c r="F16" s="3" t="s">
        <v>17</v>
      </c>
      <c r="G16" s="3" t="s">
        <v>19</v>
      </c>
    </row>
    <row r="17" ht="22.5" customHeight="1">
      <c r="A17" s="3" t="s">
        <v>8</v>
      </c>
      <c r="B17" s="3" t="s">
        <v>54</v>
      </c>
      <c r="C17" s="4">
        <v>15.0</v>
      </c>
      <c r="D17" s="4" t="s">
        <v>55</v>
      </c>
      <c r="E17" s="3" t="s">
        <v>46</v>
      </c>
      <c r="F17" s="3" t="s">
        <v>12</v>
      </c>
      <c r="G17" s="3" t="s">
        <v>11</v>
      </c>
    </row>
    <row r="18">
      <c r="B18" s="6"/>
    </row>
    <row r="19">
      <c r="D19" s="7"/>
    </row>
    <row r="20">
      <c r="D20" s="7"/>
    </row>
    <row r="21">
      <c r="D21" s="7"/>
    </row>
    <row r="22">
      <c r="D22" s="7"/>
    </row>
    <row r="23">
      <c r="D23" s="7"/>
    </row>
    <row r="24">
      <c r="D24" s="7"/>
    </row>
    <row r="25">
      <c r="D25" s="7"/>
    </row>
    <row r="26">
      <c r="D26" s="7"/>
    </row>
    <row r="27">
      <c r="D27" s="7"/>
    </row>
    <row r="28">
      <c r="D28" s="7"/>
    </row>
    <row r="29">
      <c r="D29" s="7"/>
    </row>
    <row r="30">
      <c r="D30" s="7"/>
    </row>
    <row r="31">
      <c r="D31" s="7"/>
    </row>
    <row r="32">
      <c r="D32" s="7"/>
    </row>
    <row r="33">
      <c r="D33" s="7"/>
    </row>
    <row r="34">
      <c r="D34" s="7"/>
    </row>
    <row r="35">
      <c r="D35" s="7"/>
    </row>
    <row r="36">
      <c r="D36" s="7"/>
    </row>
    <row r="37">
      <c r="D37" s="7"/>
    </row>
    <row r="38">
      <c r="D38" s="7"/>
    </row>
    <row r="39">
      <c r="D39" s="7"/>
    </row>
    <row r="40">
      <c r="D40" s="7"/>
    </row>
    <row r="41">
      <c r="D41" s="7"/>
    </row>
    <row r="42">
      <c r="D42" s="7"/>
    </row>
    <row r="43">
      <c r="D43" s="7"/>
    </row>
    <row r="44">
      <c r="D44" s="7"/>
    </row>
    <row r="45">
      <c r="D45" s="7"/>
    </row>
    <row r="46">
      <c r="D46" s="7"/>
    </row>
    <row r="47">
      <c r="D47" s="7"/>
    </row>
    <row r="48">
      <c r="D48" s="7"/>
    </row>
    <row r="49">
      <c r="D49" s="7"/>
    </row>
    <row r="50">
      <c r="D50" s="7"/>
    </row>
    <row r="51">
      <c r="D51" s="7"/>
    </row>
    <row r="52">
      <c r="D52" s="7"/>
    </row>
    <row r="53">
      <c r="D53" s="7"/>
    </row>
    <row r="54">
      <c r="D54" s="7"/>
    </row>
    <row r="55">
      <c r="D55" s="7"/>
    </row>
    <row r="56">
      <c r="D56" s="7"/>
    </row>
    <row r="57">
      <c r="D57" s="7"/>
    </row>
    <row r="58">
      <c r="D58" s="7"/>
    </row>
    <row r="59">
      <c r="D59" s="7"/>
    </row>
    <row r="60">
      <c r="D60" s="7"/>
    </row>
    <row r="61">
      <c r="D61" s="7"/>
    </row>
    <row r="62">
      <c r="D62" s="7"/>
    </row>
    <row r="63">
      <c r="D63" s="7"/>
    </row>
    <row r="64">
      <c r="D64" s="7"/>
    </row>
    <row r="65">
      <c r="D65" s="7"/>
    </row>
    <row r="66">
      <c r="D66" s="7"/>
    </row>
    <row r="67">
      <c r="D67" s="7"/>
    </row>
    <row r="68">
      <c r="D68" s="7"/>
    </row>
    <row r="69">
      <c r="D69" s="7"/>
    </row>
    <row r="70">
      <c r="D70" s="7"/>
    </row>
    <row r="71">
      <c r="D71" s="7"/>
    </row>
    <row r="72">
      <c r="D72" s="7"/>
    </row>
    <row r="73">
      <c r="D73" s="7"/>
    </row>
    <row r="74">
      <c r="D74" s="7"/>
    </row>
    <row r="75">
      <c r="D75" s="7"/>
    </row>
    <row r="76">
      <c r="D76" s="7"/>
    </row>
    <row r="77">
      <c r="D77" s="7"/>
    </row>
    <row r="78">
      <c r="D78" s="7"/>
    </row>
    <row r="79">
      <c r="D79" s="7"/>
    </row>
    <row r="80">
      <c r="D80" s="7"/>
    </row>
    <row r="81">
      <c r="D81" s="7"/>
    </row>
    <row r="82">
      <c r="D82" s="7"/>
    </row>
    <row r="83">
      <c r="D83" s="7"/>
    </row>
    <row r="84">
      <c r="D84" s="7"/>
    </row>
    <row r="85">
      <c r="D85" s="7"/>
    </row>
    <row r="86">
      <c r="D86" s="7"/>
    </row>
    <row r="87">
      <c r="D87" s="7"/>
    </row>
    <row r="88">
      <c r="D88" s="7"/>
    </row>
    <row r="89">
      <c r="D89" s="7"/>
    </row>
    <row r="90">
      <c r="D90" s="7"/>
    </row>
    <row r="91">
      <c r="D91" s="7"/>
    </row>
    <row r="92">
      <c r="D92" s="7"/>
    </row>
    <row r="93">
      <c r="D93" s="7"/>
    </row>
    <row r="94">
      <c r="D94" s="7"/>
    </row>
    <row r="95">
      <c r="D95" s="7"/>
    </row>
    <row r="96">
      <c r="D96" s="7"/>
    </row>
    <row r="97">
      <c r="D97" s="7"/>
    </row>
    <row r="98">
      <c r="D98" s="7"/>
    </row>
    <row r="99">
      <c r="D99" s="7"/>
    </row>
    <row r="100">
      <c r="D100" s="7"/>
    </row>
    <row r="101">
      <c r="D101" s="7"/>
    </row>
    <row r="102">
      <c r="D102" s="7"/>
    </row>
    <row r="103">
      <c r="D103" s="7"/>
    </row>
    <row r="104">
      <c r="D104" s="7"/>
    </row>
    <row r="105">
      <c r="D105" s="7"/>
    </row>
    <row r="106">
      <c r="D106" s="7"/>
    </row>
    <row r="107">
      <c r="D107" s="7"/>
    </row>
    <row r="108">
      <c r="D108" s="7"/>
    </row>
    <row r="109">
      <c r="D109" s="7"/>
    </row>
    <row r="110">
      <c r="D110" s="7"/>
    </row>
    <row r="111">
      <c r="D111" s="7"/>
    </row>
    <row r="112">
      <c r="D112" s="7"/>
    </row>
    <row r="113">
      <c r="D113" s="7"/>
    </row>
    <row r="114">
      <c r="D114" s="7"/>
    </row>
    <row r="115">
      <c r="D115" s="7"/>
    </row>
    <row r="116">
      <c r="D116" s="7"/>
    </row>
    <row r="117">
      <c r="D117" s="7"/>
    </row>
    <row r="118">
      <c r="D118" s="7"/>
    </row>
    <row r="119">
      <c r="D119" s="7"/>
    </row>
    <row r="120">
      <c r="D120" s="7"/>
    </row>
    <row r="121">
      <c r="D121" s="7"/>
    </row>
    <row r="122">
      <c r="D122" s="7"/>
    </row>
    <row r="123">
      <c r="D123" s="7"/>
    </row>
    <row r="124">
      <c r="D124" s="7"/>
    </row>
    <row r="125">
      <c r="D125" s="7"/>
    </row>
    <row r="126">
      <c r="D126" s="7"/>
    </row>
    <row r="127">
      <c r="D127" s="7"/>
    </row>
    <row r="128">
      <c r="D128" s="7"/>
    </row>
    <row r="129">
      <c r="D129" s="7"/>
    </row>
    <row r="130">
      <c r="D130" s="7"/>
    </row>
    <row r="131">
      <c r="D131" s="7"/>
    </row>
    <row r="132">
      <c r="D132" s="7"/>
    </row>
    <row r="133">
      <c r="D133" s="7"/>
    </row>
    <row r="134">
      <c r="D134" s="7"/>
    </row>
    <row r="135">
      <c r="D135" s="7"/>
    </row>
    <row r="136">
      <c r="D136" s="7"/>
    </row>
    <row r="137">
      <c r="D137" s="7"/>
    </row>
    <row r="138">
      <c r="D138" s="7"/>
    </row>
  </sheetData>
  <dataValidations>
    <dataValidation type="list" allowBlank="1" showErrorMessage="1" sqref="E2:G17">
      <formula1>#REF!</formula1>
    </dataValidation>
    <dataValidation type="list" allowBlank="1" showErrorMessage="1" sqref="A2:A17">
      <formula1>"Game Mastery,Teamwork,Personal Development,Esports Citizen,Digital skills"</formula1>
    </dataValidation>
    <dataValidation type="list" allowBlank="1" showErrorMessage="1" sqref="B2:B6 B8:B18">
      <formula1>"Basic Mechanics,Code Keeper,Conduct Creator,Data Logger,Duo Snatcher,Encourage Warrior,End Of The Road,Goal Scorer,Learn In Action,Master Plan,Memory Maker,Player Performance,Positve Voice,Prep Master,Skill Evaluation,Tactical Minds"</formula1>
    </dataValidation>
    <dataValidation type="list" allowBlank="1" showErrorMessage="1" sqref="B7">
      <formula1>"Basic Mechanics,Code Keeper,Conduct Creator,Data Logger,Duo Snatcher,Encourage Warrior,End Of The Road,Goal Scorer,Learn In Action,Master Plan,Memory Maker,Player Performance,Positve Voice,Prep Master,Skill Evaluation,Tactical Minds,Role Model"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9.25"/>
    <col customWidth="1" min="3" max="3" width="44.5"/>
    <col customWidth="1" min="4" max="4" width="21.0"/>
    <col customWidth="1" min="5" max="5" width="21.75"/>
  </cols>
  <sheetData>
    <row r="1" ht="22.5" customHeight="1">
      <c r="A1" s="8" t="s">
        <v>56</v>
      </c>
      <c r="B1" s="9" t="s">
        <v>57</v>
      </c>
      <c r="C1" s="10" t="s">
        <v>58</v>
      </c>
      <c r="D1" s="10" t="s">
        <v>59</v>
      </c>
      <c r="E1" s="10" t="s">
        <v>60</v>
      </c>
    </row>
    <row r="2" ht="22.5" customHeight="1">
      <c r="A2" s="11">
        <v>1.0</v>
      </c>
      <c r="B2" s="12" t="s">
        <v>61</v>
      </c>
      <c r="C2" s="13"/>
      <c r="D2" s="14"/>
      <c r="E2" s="14"/>
    </row>
    <row r="3" ht="22.5" customHeight="1">
      <c r="A3" s="11">
        <v>2.0</v>
      </c>
      <c r="B3" s="12" t="s">
        <v>62</v>
      </c>
      <c r="C3" s="15" t="s">
        <v>40</v>
      </c>
      <c r="D3" s="16"/>
      <c r="E3" s="14"/>
    </row>
    <row r="4" ht="22.5" customHeight="1">
      <c r="A4" s="11">
        <v>3.0</v>
      </c>
      <c r="B4" s="12" t="s">
        <v>63</v>
      </c>
      <c r="C4" s="15" t="s">
        <v>9</v>
      </c>
      <c r="D4" s="16"/>
      <c r="E4" s="14"/>
    </row>
    <row r="5" ht="22.5" customHeight="1">
      <c r="A5" s="11">
        <v>4.0</v>
      </c>
      <c r="B5" s="12" t="s">
        <v>64</v>
      </c>
      <c r="C5" s="15" t="s">
        <v>9</v>
      </c>
      <c r="D5" s="16"/>
      <c r="E5" s="14"/>
    </row>
    <row r="6" ht="22.5" customHeight="1">
      <c r="A6" s="11">
        <v>5.0</v>
      </c>
      <c r="B6" s="12" t="s">
        <v>65</v>
      </c>
      <c r="C6" s="15" t="s">
        <v>23</v>
      </c>
      <c r="D6" s="16"/>
      <c r="E6" s="14"/>
    </row>
    <row r="7" ht="22.5" customHeight="1">
      <c r="A7" s="11">
        <v>6.0</v>
      </c>
      <c r="B7" s="12" t="s">
        <v>66</v>
      </c>
      <c r="C7" s="15" t="s">
        <v>67</v>
      </c>
      <c r="D7" s="16"/>
      <c r="E7" s="14"/>
    </row>
    <row r="8" ht="22.5" customHeight="1">
      <c r="A8" s="11">
        <v>7.0</v>
      </c>
      <c r="B8" s="12" t="s">
        <v>68</v>
      </c>
      <c r="C8" s="15" t="s">
        <v>20</v>
      </c>
      <c r="D8" s="16"/>
      <c r="E8" s="14"/>
    </row>
    <row r="9" ht="22.5" customHeight="1">
      <c r="A9" s="11">
        <v>8.0</v>
      </c>
      <c r="B9" s="12" t="s">
        <v>69</v>
      </c>
      <c r="C9" s="15" t="s">
        <v>15</v>
      </c>
      <c r="D9" s="16"/>
      <c r="E9" s="14"/>
    </row>
    <row r="10" ht="22.5" customHeight="1">
      <c r="A10" s="11">
        <v>9.0</v>
      </c>
      <c r="B10" s="12" t="s">
        <v>70</v>
      </c>
      <c r="C10" s="15" t="s">
        <v>35</v>
      </c>
      <c r="D10" s="16"/>
      <c r="E10" s="14"/>
    </row>
    <row r="11" ht="22.5" customHeight="1">
      <c r="A11" s="11">
        <v>10.0</v>
      </c>
      <c r="B11" s="12" t="s">
        <v>71</v>
      </c>
      <c r="C11" s="15" t="s">
        <v>48</v>
      </c>
      <c r="D11" s="16"/>
      <c r="E11" s="14"/>
    </row>
    <row r="12" ht="22.5" customHeight="1">
      <c r="A12" s="11">
        <v>11.0</v>
      </c>
      <c r="B12" s="17" t="s">
        <v>72</v>
      </c>
      <c r="C12" s="15" t="s">
        <v>73</v>
      </c>
      <c r="D12" s="16"/>
      <c r="E12" s="14"/>
    </row>
    <row r="13" ht="22.5" customHeight="1">
      <c r="A13" s="11">
        <v>12.0</v>
      </c>
      <c r="B13" s="18" t="s">
        <v>72</v>
      </c>
      <c r="C13" s="15" t="s">
        <v>73</v>
      </c>
      <c r="D13" s="16"/>
      <c r="E13" s="14"/>
    </row>
    <row r="14">
      <c r="A14" s="19"/>
      <c r="B14" s="19"/>
      <c r="C14" s="20"/>
      <c r="D14" s="19"/>
      <c r="E14" s="21"/>
    </row>
    <row r="15">
      <c r="A15" s="19"/>
      <c r="B15" s="19"/>
      <c r="C15" s="20"/>
      <c r="D15" s="19"/>
      <c r="E15" s="21"/>
    </row>
    <row r="16">
      <c r="A16" s="19"/>
      <c r="B16" s="19"/>
      <c r="C16" s="20"/>
      <c r="D16" s="19"/>
      <c r="E16" s="21"/>
    </row>
    <row r="17">
      <c r="A17" s="19"/>
      <c r="B17" s="19"/>
      <c r="C17" s="20"/>
      <c r="D17" s="19"/>
      <c r="E17" s="21"/>
    </row>
    <row r="18">
      <c r="A18" s="19"/>
      <c r="B18" s="19"/>
      <c r="C18" s="20"/>
      <c r="D18" s="19"/>
      <c r="E18" s="21"/>
    </row>
    <row r="19">
      <c r="A19" s="19"/>
      <c r="B19" s="19"/>
      <c r="C19" s="20"/>
      <c r="D19" s="19"/>
      <c r="E19" s="21"/>
    </row>
    <row r="20">
      <c r="A20" s="19"/>
      <c r="B20" s="20"/>
      <c r="C20" s="20"/>
      <c r="D20" s="19"/>
      <c r="E20" s="21"/>
    </row>
    <row r="21">
      <c r="A21" s="19"/>
      <c r="B21" s="20"/>
      <c r="C21" s="20"/>
      <c r="D21" s="19"/>
      <c r="E21" s="21"/>
    </row>
    <row r="22">
      <c r="A22" s="19"/>
      <c r="B22" s="20"/>
      <c r="C22" s="20"/>
      <c r="D22" s="19"/>
      <c r="E22" s="21"/>
    </row>
    <row r="23">
      <c r="A23" s="19"/>
      <c r="B23" s="20"/>
      <c r="C23" s="20"/>
      <c r="D23" s="19"/>
      <c r="E23" s="21"/>
    </row>
    <row r="24">
      <c r="A24" s="19"/>
      <c r="B24" s="20"/>
      <c r="C24" s="20"/>
      <c r="D24" s="19"/>
      <c r="E24" s="21"/>
    </row>
    <row r="25">
      <c r="A25" s="19"/>
      <c r="B25" s="20"/>
      <c r="C25" s="20"/>
      <c r="D25" s="19"/>
      <c r="E25" s="21"/>
    </row>
    <row r="26">
      <c r="A26" s="19"/>
      <c r="B26" s="19"/>
      <c r="C26" s="19"/>
      <c r="D26" s="19"/>
      <c r="E26" s="21"/>
    </row>
    <row r="27">
      <c r="A27" s="19"/>
      <c r="B27" s="19"/>
      <c r="C27" s="19"/>
      <c r="D27" s="19"/>
      <c r="E27" s="21"/>
    </row>
    <row r="28">
      <c r="A28" s="19"/>
      <c r="B28" s="19"/>
      <c r="C28" s="19"/>
      <c r="D28" s="19"/>
    </row>
    <row r="29">
      <c r="A29" s="19"/>
      <c r="B29" s="19"/>
      <c r="C29" s="19"/>
      <c r="D29" s="19"/>
    </row>
    <row r="30">
      <c r="A30" s="19"/>
      <c r="B30" s="19"/>
      <c r="C30" s="19"/>
      <c r="D30" s="19"/>
    </row>
    <row r="31">
      <c r="A31" s="19"/>
      <c r="B31" s="19"/>
      <c r="C31" s="19"/>
      <c r="D31" s="19"/>
    </row>
    <row r="32">
      <c r="A32" s="19"/>
      <c r="B32" s="19"/>
      <c r="C32" s="19"/>
      <c r="D32" s="19"/>
    </row>
    <row r="33">
      <c r="A33" s="19"/>
      <c r="B33" s="19"/>
      <c r="C33" s="19"/>
      <c r="D33" s="19"/>
    </row>
    <row r="34">
      <c r="A34" s="19"/>
      <c r="B34" s="19"/>
      <c r="C34" s="19"/>
      <c r="D34" s="19"/>
    </row>
  </sheetData>
  <dataValidations>
    <dataValidation type="list" allowBlank="1" showErrorMessage="1" sqref="C2:C13">
      <formula1>#REF!</formula1>
    </dataValidation>
    <dataValidation type="custom" allowBlank="1" showDropDown="1" sqref="A2:A13">
      <formula1>AND(ISNUMBER(A2),(NOT(OR(NOT(ISERROR(DATEVALUE(A2))), AND(ISNUMBER(A2), LEFT(CELL("format", A2))="D")))))</formula1>
    </dataValidation>
  </dataValidation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C78D8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8.63"/>
    <col customWidth="1" min="3" max="3" width="4.75"/>
  </cols>
  <sheetData>
    <row r="2" ht="22.5" customHeight="1">
      <c r="A2" s="22" t="s">
        <v>74</v>
      </c>
      <c r="B2" s="22" t="s">
        <v>1</v>
      </c>
      <c r="C2" s="22" t="s">
        <v>2</v>
      </c>
      <c r="D2" s="23" t="s">
        <v>75</v>
      </c>
      <c r="E2" s="23" t="s">
        <v>76</v>
      </c>
      <c r="F2" s="23" t="s">
        <v>77</v>
      </c>
      <c r="G2" s="23" t="s">
        <v>78</v>
      </c>
      <c r="H2" s="23" t="s">
        <v>79</v>
      </c>
      <c r="I2" s="23" t="s">
        <v>80</v>
      </c>
      <c r="J2" s="23" t="s">
        <v>81</v>
      </c>
      <c r="K2" s="23" t="s">
        <v>82</v>
      </c>
      <c r="L2" s="23" t="s">
        <v>83</v>
      </c>
      <c r="M2" s="23" t="s">
        <v>84</v>
      </c>
      <c r="N2" s="23" t="s">
        <v>85</v>
      </c>
      <c r="O2" s="23" t="s">
        <v>86</v>
      </c>
      <c r="P2" s="23" t="s">
        <v>87</v>
      </c>
      <c r="Q2" s="23" t="s">
        <v>88</v>
      </c>
      <c r="R2" s="23" t="s">
        <v>89</v>
      </c>
      <c r="S2" s="23" t="s">
        <v>90</v>
      </c>
    </row>
    <row r="3" ht="22.5" customHeight="1">
      <c r="A3" s="3" t="s">
        <v>8</v>
      </c>
      <c r="B3" s="4" t="s">
        <v>91</v>
      </c>
      <c r="C3" s="24"/>
      <c r="D3" s="4">
        <v>68.0</v>
      </c>
      <c r="E3" s="4">
        <v>42.0</v>
      </c>
      <c r="F3" s="4">
        <v>12.0</v>
      </c>
      <c r="G3" s="4">
        <v>35.0</v>
      </c>
      <c r="H3" s="4">
        <v>20.0</v>
      </c>
      <c r="I3" s="4">
        <v>19.0</v>
      </c>
      <c r="J3" s="4">
        <v>62.0</v>
      </c>
      <c r="K3" s="4">
        <v>60.0</v>
      </c>
      <c r="L3" s="25">
        <v>20.0</v>
      </c>
      <c r="M3" s="25">
        <v>52.0</v>
      </c>
      <c r="N3" s="25">
        <v>42.0</v>
      </c>
      <c r="O3" s="25">
        <v>76.0</v>
      </c>
      <c r="P3" s="25">
        <v>28.0</v>
      </c>
      <c r="Q3" s="25">
        <v>26.0</v>
      </c>
      <c r="R3" s="25">
        <v>44.0</v>
      </c>
      <c r="S3" s="25">
        <v>62.0</v>
      </c>
    </row>
    <row r="4" ht="22.5" customHeight="1">
      <c r="A4" s="3" t="s">
        <v>22</v>
      </c>
      <c r="B4" s="4" t="s">
        <v>91</v>
      </c>
      <c r="C4" s="24"/>
      <c r="D4" s="4">
        <v>56.0</v>
      </c>
      <c r="E4" s="4">
        <v>38.0</v>
      </c>
      <c r="F4" s="4">
        <v>10.0</v>
      </c>
      <c r="G4" s="4">
        <v>38.0</v>
      </c>
      <c r="H4" s="4">
        <v>27.0</v>
      </c>
      <c r="I4" s="4">
        <v>27.0</v>
      </c>
      <c r="J4" s="4">
        <v>10.0</v>
      </c>
      <c r="K4" s="4">
        <v>56.0</v>
      </c>
      <c r="L4" s="25">
        <v>24.0</v>
      </c>
      <c r="M4" s="25">
        <v>56.0</v>
      </c>
      <c r="N4" s="25">
        <v>56.0</v>
      </c>
      <c r="O4" s="25">
        <v>56.0</v>
      </c>
      <c r="P4" s="25">
        <v>27.0</v>
      </c>
      <c r="Q4" s="25">
        <v>34.0</v>
      </c>
      <c r="R4" s="25">
        <v>10.0</v>
      </c>
      <c r="S4" s="25">
        <v>38.0</v>
      </c>
    </row>
    <row r="5" ht="22.5" customHeight="1">
      <c r="A5" s="3" t="s">
        <v>32</v>
      </c>
      <c r="B5" s="4" t="s">
        <v>91</v>
      </c>
      <c r="C5" s="24"/>
      <c r="D5" s="4">
        <v>45.0</v>
      </c>
      <c r="E5" s="4">
        <v>21.0</v>
      </c>
      <c r="F5" s="4"/>
      <c r="G5" s="4">
        <v>24.0</v>
      </c>
      <c r="H5" s="4">
        <v>21.0</v>
      </c>
      <c r="I5" s="4">
        <v>21.0</v>
      </c>
      <c r="J5" s="4">
        <v>48.0</v>
      </c>
      <c r="K5" s="4">
        <v>48.0</v>
      </c>
      <c r="L5" s="25">
        <v>21.0</v>
      </c>
      <c r="M5" s="25">
        <v>48.0</v>
      </c>
      <c r="N5" s="25">
        <v>48.0</v>
      </c>
      <c r="O5" s="25">
        <v>48.0</v>
      </c>
      <c r="P5" s="25">
        <v>21.0</v>
      </c>
      <c r="Q5" s="25">
        <v>19.0</v>
      </c>
      <c r="R5" s="25">
        <v>45.0</v>
      </c>
      <c r="S5" s="25">
        <v>21.0</v>
      </c>
    </row>
    <row r="6" ht="22.5" customHeight="1">
      <c r="A6" s="3" t="s">
        <v>39</v>
      </c>
      <c r="B6" s="4" t="s">
        <v>91</v>
      </c>
      <c r="C6" s="24"/>
      <c r="D6" s="4">
        <v>28.0</v>
      </c>
      <c r="E6" s="4">
        <v>44.0</v>
      </c>
      <c r="F6" s="4">
        <v>8.0</v>
      </c>
      <c r="G6" s="4">
        <v>17.0</v>
      </c>
      <c r="H6" s="4">
        <v>17.0</v>
      </c>
      <c r="I6" s="4">
        <v>28.0</v>
      </c>
      <c r="J6" s="4">
        <v>44.0</v>
      </c>
      <c r="K6" s="4">
        <v>44.0</v>
      </c>
      <c r="L6" s="25">
        <v>19.0</v>
      </c>
      <c r="M6" s="25">
        <v>44.0</v>
      </c>
      <c r="N6" s="25">
        <v>28.0</v>
      </c>
      <c r="O6" s="25">
        <v>44.0</v>
      </c>
      <c r="P6" s="25">
        <v>28.0</v>
      </c>
      <c r="Q6" s="25">
        <v>8.0</v>
      </c>
      <c r="R6" s="25">
        <v>17.0</v>
      </c>
      <c r="S6" s="25">
        <v>28.0</v>
      </c>
    </row>
    <row r="7" ht="22.5" customHeight="1">
      <c r="A7" s="3" t="s">
        <v>47</v>
      </c>
      <c r="B7" s="4" t="s">
        <v>91</v>
      </c>
      <c r="C7" s="24"/>
      <c r="D7" s="4">
        <v>54.0</v>
      </c>
      <c r="E7" s="4">
        <v>31.0</v>
      </c>
      <c r="F7" s="4">
        <v>9.0</v>
      </c>
      <c r="G7" s="4">
        <v>9.0</v>
      </c>
      <c r="H7" s="4">
        <v>9.0</v>
      </c>
      <c r="I7" s="4">
        <v>23.0</v>
      </c>
      <c r="J7" s="4">
        <v>31.0</v>
      </c>
      <c r="K7" s="4">
        <v>54.0</v>
      </c>
      <c r="L7" s="25">
        <v>23.0</v>
      </c>
      <c r="M7" s="25">
        <v>54.0</v>
      </c>
      <c r="N7" s="25">
        <v>27.0</v>
      </c>
      <c r="O7" s="25">
        <v>54.0</v>
      </c>
      <c r="P7" s="25">
        <v>23.0</v>
      </c>
      <c r="Q7" s="25">
        <v>31.0</v>
      </c>
      <c r="R7" s="25">
        <v>31.0</v>
      </c>
      <c r="S7" s="25">
        <v>54.0</v>
      </c>
    </row>
    <row r="8" ht="22.5" customHeight="1">
      <c r="A8" s="3" t="s">
        <v>8</v>
      </c>
      <c r="B8" s="4" t="s">
        <v>9</v>
      </c>
      <c r="C8" s="24">
        <v>6.0</v>
      </c>
      <c r="D8" s="4">
        <v>6.0</v>
      </c>
      <c r="E8" s="4">
        <v>6.0</v>
      </c>
      <c r="F8" s="4">
        <v>6.0</v>
      </c>
      <c r="H8" s="4">
        <v>6.0</v>
      </c>
      <c r="I8" s="4">
        <v>6.0</v>
      </c>
      <c r="J8" s="4">
        <v>6.0</v>
      </c>
      <c r="L8" s="25">
        <v>6.0</v>
      </c>
      <c r="M8" s="25">
        <v>6.0</v>
      </c>
      <c r="N8" s="25">
        <v>6.0</v>
      </c>
      <c r="O8" s="25">
        <v>6.0</v>
      </c>
      <c r="P8" s="25">
        <v>6.0</v>
      </c>
      <c r="Q8" s="25">
        <v>6.0</v>
      </c>
      <c r="R8" s="25">
        <v>6.0</v>
      </c>
      <c r="S8" s="25">
        <v>6.0</v>
      </c>
    </row>
    <row r="9" ht="22.5" customHeight="1">
      <c r="A9" s="3" t="s">
        <v>8</v>
      </c>
      <c r="B9" s="4" t="s">
        <v>15</v>
      </c>
      <c r="C9" s="24">
        <v>6.0</v>
      </c>
      <c r="D9" s="4">
        <v>6.0</v>
      </c>
      <c r="E9" s="4">
        <v>6.0</v>
      </c>
      <c r="F9" s="4">
        <v>6.0</v>
      </c>
      <c r="H9" s="4">
        <v>6.0</v>
      </c>
      <c r="I9" s="4">
        <v>6.0</v>
      </c>
      <c r="J9" s="4">
        <v>6.0</v>
      </c>
      <c r="K9" s="4">
        <v>6.0</v>
      </c>
      <c r="L9" s="25">
        <v>6.0</v>
      </c>
      <c r="M9" s="25">
        <v>6.0</v>
      </c>
      <c r="N9" s="25">
        <v>6.0</v>
      </c>
      <c r="O9" s="25">
        <v>6.0</v>
      </c>
      <c r="P9" s="25">
        <v>6.0</v>
      </c>
      <c r="Q9" s="25">
        <v>6.0</v>
      </c>
      <c r="R9" s="25">
        <v>6.0</v>
      </c>
      <c r="S9" s="25">
        <v>6.0</v>
      </c>
    </row>
    <row r="10" ht="22.5" customHeight="1">
      <c r="A10" s="3" t="s">
        <v>8</v>
      </c>
      <c r="B10" s="4" t="s">
        <v>20</v>
      </c>
      <c r="C10" s="24">
        <v>6.0</v>
      </c>
      <c r="D10" s="4">
        <v>6.0</v>
      </c>
      <c r="E10" s="4">
        <v>6.0</v>
      </c>
      <c r="F10" s="4">
        <v>6.0</v>
      </c>
      <c r="G10" s="4">
        <v>6.0</v>
      </c>
      <c r="H10" s="4">
        <v>6.0</v>
      </c>
      <c r="I10" s="4">
        <v>6.0</v>
      </c>
      <c r="J10" s="4">
        <v>6.0</v>
      </c>
      <c r="K10" s="4">
        <v>6.0</v>
      </c>
      <c r="L10" s="25">
        <v>6.0</v>
      </c>
      <c r="M10" s="25">
        <v>6.0</v>
      </c>
      <c r="N10" s="25">
        <v>6.0</v>
      </c>
      <c r="O10" s="25">
        <v>6.0</v>
      </c>
      <c r="P10" s="25">
        <v>6.0</v>
      </c>
      <c r="Q10" s="25">
        <v>6.0</v>
      </c>
      <c r="R10" s="25">
        <v>6.0</v>
      </c>
      <c r="S10" s="25">
        <v>6.0</v>
      </c>
    </row>
    <row r="11" ht="22.5" customHeight="1">
      <c r="A11" s="3" t="s">
        <v>22</v>
      </c>
      <c r="B11" s="4" t="s">
        <v>23</v>
      </c>
      <c r="C11" s="24">
        <v>3.0</v>
      </c>
      <c r="D11" s="4">
        <v>3.0</v>
      </c>
      <c r="E11" s="4">
        <v>3.0</v>
      </c>
      <c r="F11" s="4">
        <v>3.0</v>
      </c>
      <c r="G11" s="4">
        <v>3.0</v>
      </c>
      <c r="H11" s="4">
        <v>3.0</v>
      </c>
      <c r="I11" s="4">
        <v>3.0</v>
      </c>
      <c r="J11" s="4">
        <v>3.0</v>
      </c>
      <c r="K11" s="4">
        <v>3.0</v>
      </c>
      <c r="L11" s="25">
        <v>3.0</v>
      </c>
      <c r="M11" s="25"/>
      <c r="N11" s="25"/>
      <c r="O11" s="25">
        <v>3.0</v>
      </c>
      <c r="P11" s="25"/>
      <c r="Q11" s="25">
        <v>3.0</v>
      </c>
      <c r="R11" s="25">
        <v>3.0</v>
      </c>
      <c r="S11" s="25">
        <v>3.0</v>
      </c>
    </row>
    <row r="12" ht="22.5" customHeight="1">
      <c r="A12" s="3" t="s">
        <v>22</v>
      </c>
      <c r="B12" s="4" t="s">
        <v>27</v>
      </c>
      <c r="C12" s="24">
        <v>6.0</v>
      </c>
      <c r="D12" s="4">
        <v>6.0</v>
      </c>
      <c r="E12" s="4">
        <v>6.0</v>
      </c>
      <c r="F12" s="4">
        <v>6.0</v>
      </c>
      <c r="H12" s="4">
        <v>6.0</v>
      </c>
      <c r="J12" s="4">
        <v>6.0</v>
      </c>
      <c r="K12" s="4">
        <v>6.0</v>
      </c>
      <c r="L12" s="25"/>
      <c r="M12" s="25">
        <v>6.0</v>
      </c>
      <c r="N12" s="25">
        <v>6.0</v>
      </c>
      <c r="O12" s="25">
        <v>6.0</v>
      </c>
      <c r="P12" s="25">
        <v>6.0</v>
      </c>
      <c r="Q12" s="25"/>
      <c r="R12" s="25">
        <v>6.0</v>
      </c>
      <c r="S12" s="25">
        <v>6.0</v>
      </c>
    </row>
    <row r="13" ht="22.5" customHeight="1">
      <c r="A13" s="3" t="s">
        <v>22</v>
      </c>
      <c r="B13" s="4" t="s">
        <v>67</v>
      </c>
      <c r="C13" s="24">
        <v>6.0</v>
      </c>
      <c r="D13" s="4">
        <v>6.0</v>
      </c>
      <c r="E13" s="4">
        <v>6.0</v>
      </c>
      <c r="F13" s="4">
        <v>6.0</v>
      </c>
      <c r="G13" s="4">
        <v>6.0</v>
      </c>
      <c r="H13" s="4">
        <v>6.0</v>
      </c>
      <c r="I13" s="4">
        <v>6.0</v>
      </c>
      <c r="J13" s="4">
        <v>6.0</v>
      </c>
      <c r="K13" s="4">
        <v>6.0</v>
      </c>
      <c r="L13" s="25">
        <v>6.0</v>
      </c>
      <c r="M13" s="25">
        <v>6.0</v>
      </c>
      <c r="N13" s="25">
        <v>6.0</v>
      </c>
      <c r="O13" s="25">
        <v>6.0</v>
      </c>
      <c r="P13" s="25">
        <v>6.0</v>
      </c>
      <c r="Q13" s="25">
        <v>6.0</v>
      </c>
      <c r="R13" s="25">
        <v>6.0</v>
      </c>
      <c r="S13" s="25">
        <v>6.0</v>
      </c>
    </row>
    <row r="14" ht="22.5" customHeight="1">
      <c r="A14" s="3" t="s">
        <v>32</v>
      </c>
      <c r="B14" s="4" t="s">
        <v>33</v>
      </c>
      <c r="C14" s="24">
        <v>6.0</v>
      </c>
      <c r="L14" s="26"/>
      <c r="M14" s="26"/>
      <c r="N14" s="26"/>
      <c r="O14" s="26"/>
      <c r="P14" s="26"/>
      <c r="Q14" s="26"/>
      <c r="R14" s="26"/>
      <c r="S14" s="26"/>
    </row>
    <row r="15" ht="22.5" customHeight="1">
      <c r="A15" s="3" t="s">
        <v>32</v>
      </c>
      <c r="B15" s="4" t="s">
        <v>35</v>
      </c>
      <c r="C15" s="24">
        <v>6.0</v>
      </c>
      <c r="E15" s="4">
        <v>6.0</v>
      </c>
      <c r="F15" s="4">
        <v>6.0</v>
      </c>
      <c r="H15" s="4">
        <v>6.0</v>
      </c>
      <c r="I15" s="4">
        <v>6.0</v>
      </c>
      <c r="J15" s="4">
        <v>6.0</v>
      </c>
      <c r="K15" s="4">
        <v>6.0</v>
      </c>
      <c r="L15" s="27"/>
      <c r="M15" s="25">
        <v>6.0</v>
      </c>
      <c r="N15" s="25">
        <v>6.0</v>
      </c>
      <c r="O15" s="25">
        <v>6.0</v>
      </c>
      <c r="P15" s="25">
        <v>6.0</v>
      </c>
      <c r="Q15" s="25">
        <v>6.0</v>
      </c>
      <c r="R15" s="25">
        <v>6.0</v>
      </c>
      <c r="S15" s="25">
        <v>6.0</v>
      </c>
    </row>
    <row r="16" ht="22.5" customHeight="1">
      <c r="A16" s="3" t="s">
        <v>32</v>
      </c>
      <c r="B16" s="4" t="s">
        <v>37</v>
      </c>
      <c r="C16" s="24">
        <v>6.0</v>
      </c>
      <c r="L16" s="26"/>
      <c r="M16" s="26"/>
      <c r="N16" s="26"/>
      <c r="O16" s="26"/>
      <c r="P16" s="26"/>
      <c r="Q16" s="26"/>
      <c r="R16" s="25"/>
      <c r="S16" s="26"/>
    </row>
    <row r="17" ht="22.5" customHeight="1">
      <c r="A17" s="3" t="s">
        <v>39</v>
      </c>
      <c r="B17" s="4" t="s">
        <v>40</v>
      </c>
      <c r="C17" s="24">
        <v>6.0</v>
      </c>
      <c r="D17" s="4">
        <v>6.0</v>
      </c>
      <c r="E17" s="4">
        <v>6.0</v>
      </c>
      <c r="F17" s="4">
        <v>6.0</v>
      </c>
      <c r="G17" s="4">
        <v>6.0</v>
      </c>
      <c r="H17" s="4">
        <v>6.0</v>
      </c>
      <c r="I17" s="4">
        <v>6.0</v>
      </c>
      <c r="J17" s="4">
        <v>6.0</v>
      </c>
      <c r="K17" s="4">
        <v>6.0</v>
      </c>
      <c r="L17" s="27"/>
      <c r="M17" s="25">
        <v>6.0</v>
      </c>
      <c r="N17" s="25">
        <v>6.0</v>
      </c>
      <c r="O17" s="25">
        <v>6.0</v>
      </c>
      <c r="P17" s="25">
        <v>6.0</v>
      </c>
      <c r="Q17" s="25">
        <v>6.0</v>
      </c>
      <c r="R17" s="25"/>
      <c r="S17" s="25">
        <v>6.0</v>
      </c>
    </row>
    <row r="18" ht="22.5" customHeight="1">
      <c r="A18" s="3" t="s">
        <v>39</v>
      </c>
      <c r="B18" s="4" t="s">
        <v>42</v>
      </c>
      <c r="C18" s="24">
        <v>6.0</v>
      </c>
      <c r="E18" s="4">
        <v>6.0</v>
      </c>
      <c r="G18" s="4">
        <v>6.0</v>
      </c>
      <c r="I18" s="4">
        <v>6.0</v>
      </c>
      <c r="J18" s="4">
        <v>6.0</v>
      </c>
      <c r="L18" s="26"/>
      <c r="M18" s="26"/>
      <c r="N18" s="26"/>
      <c r="O18" s="26"/>
      <c r="P18" s="25">
        <v>6.0</v>
      </c>
      <c r="Q18" s="25">
        <v>6.0</v>
      </c>
      <c r="R18" s="25"/>
      <c r="S18" s="26"/>
    </row>
    <row r="19" ht="22.5" customHeight="1">
      <c r="A19" s="3" t="s">
        <v>39</v>
      </c>
      <c r="B19" s="4" t="s">
        <v>92</v>
      </c>
      <c r="C19" s="24">
        <v>3.0</v>
      </c>
      <c r="E19" s="4">
        <v>3.0</v>
      </c>
      <c r="G19" s="4">
        <v>3.0</v>
      </c>
      <c r="I19" s="4">
        <v>3.0</v>
      </c>
      <c r="J19" s="4">
        <v>3.0</v>
      </c>
      <c r="L19" s="27"/>
      <c r="M19" s="27"/>
      <c r="N19" s="27"/>
      <c r="O19" s="25">
        <v>3.0</v>
      </c>
      <c r="P19" s="25">
        <v>3.0</v>
      </c>
      <c r="Q19" s="25">
        <v>3.0</v>
      </c>
      <c r="R19" s="25">
        <v>3.0</v>
      </c>
      <c r="S19" s="27"/>
    </row>
    <row r="20" ht="22.5" customHeight="1">
      <c r="A20" s="3" t="s">
        <v>47</v>
      </c>
      <c r="B20" s="4" t="s">
        <v>48</v>
      </c>
      <c r="C20" s="24">
        <v>3.0</v>
      </c>
      <c r="L20" s="27"/>
      <c r="M20" s="27"/>
      <c r="N20" s="27"/>
      <c r="O20" s="27"/>
      <c r="P20" s="27"/>
      <c r="Q20" s="27"/>
      <c r="R20" s="27"/>
      <c r="S20" s="25"/>
    </row>
    <row r="21" ht="22.5" customHeight="1">
      <c r="A21" s="3" t="s">
        <v>47</v>
      </c>
      <c r="B21" s="4" t="s">
        <v>50</v>
      </c>
      <c r="C21" s="24">
        <v>6.0</v>
      </c>
      <c r="D21" s="4">
        <v>6.0</v>
      </c>
      <c r="F21" s="4">
        <v>6.0</v>
      </c>
      <c r="G21" s="4">
        <v>6.0</v>
      </c>
      <c r="H21" s="4">
        <v>6.0</v>
      </c>
      <c r="J21" s="4">
        <v>6.0</v>
      </c>
      <c r="K21" s="4">
        <v>6.0</v>
      </c>
      <c r="L21" s="25">
        <v>6.0</v>
      </c>
      <c r="M21" s="25">
        <v>6.0</v>
      </c>
      <c r="N21" s="25">
        <v>6.0</v>
      </c>
      <c r="O21" s="25">
        <v>6.0</v>
      </c>
      <c r="P21" s="25">
        <v>6.0</v>
      </c>
      <c r="Q21" s="27"/>
      <c r="R21" s="25">
        <v>6.0</v>
      </c>
      <c r="S21" s="25">
        <v>6.0</v>
      </c>
    </row>
    <row r="22" ht="22.5" customHeight="1">
      <c r="A22" s="3" t="s">
        <v>47</v>
      </c>
      <c r="B22" s="4" t="s">
        <v>52</v>
      </c>
      <c r="C22" s="24">
        <v>6.0</v>
      </c>
      <c r="L22" s="27"/>
      <c r="M22" s="27"/>
      <c r="N22" s="27"/>
      <c r="O22" s="27"/>
      <c r="P22" s="27"/>
      <c r="Q22" s="27"/>
      <c r="R22" s="27"/>
      <c r="S22" s="27"/>
    </row>
    <row r="23" ht="22.5" customHeight="1">
      <c r="A23" s="3" t="s">
        <v>8</v>
      </c>
      <c r="B23" s="4" t="s">
        <v>93</v>
      </c>
      <c r="C23" s="24">
        <v>15.0</v>
      </c>
      <c r="L23" s="26"/>
      <c r="M23" s="26"/>
      <c r="N23" s="26"/>
      <c r="O23" s="26"/>
      <c r="P23" s="26"/>
      <c r="Q23" s="26"/>
      <c r="R23" s="26"/>
      <c r="S23" s="26"/>
    </row>
    <row r="24" ht="22.5" customHeight="1">
      <c r="A24" s="3" t="s">
        <v>94</v>
      </c>
      <c r="B24" s="28">
        <f>SUM(B8:B23)</f>
        <v>0</v>
      </c>
      <c r="C24" s="24"/>
      <c r="D24" s="24">
        <f t="shared" ref="D24:S24" si="1">SUM(E3:E23)</f>
        <v>230</v>
      </c>
      <c r="E24" s="24">
        <f t="shared" si="1"/>
        <v>90</v>
      </c>
      <c r="F24" s="24">
        <f t="shared" si="1"/>
        <v>159</v>
      </c>
      <c r="G24" s="24">
        <f t="shared" si="1"/>
        <v>145</v>
      </c>
      <c r="H24" s="24">
        <f t="shared" si="1"/>
        <v>166</v>
      </c>
      <c r="I24" s="24">
        <f t="shared" si="1"/>
        <v>255</v>
      </c>
      <c r="J24" s="24">
        <f t="shared" si="1"/>
        <v>307</v>
      </c>
      <c r="K24" s="24">
        <f t="shared" si="1"/>
        <v>140</v>
      </c>
      <c r="L24" s="24">
        <f t="shared" si="1"/>
        <v>302</v>
      </c>
      <c r="M24" s="24">
        <f t="shared" si="1"/>
        <v>249</v>
      </c>
      <c r="N24" s="24">
        <f t="shared" si="1"/>
        <v>332</v>
      </c>
      <c r="O24" s="24">
        <f t="shared" si="1"/>
        <v>184</v>
      </c>
      <c r="P24" s="24">
        <f t="shared" si="1"/>
        <v>166</v>
      </c>
      <c r="Q24" s="24">
        <f t="shared" si="1"/>
        <v>195</v>
      </c>
      <c r="R24" s="24">
        <f t="shared" si="1"/>
        <v>254</v>
      </c>
      <c r="S24" s="24">
        <f t="shared" si="1"/>
        <v>0</v>
      </c>
    </row>
  </sheetData>
  <dataValidations>
    <dataValidation type="list" allowBlank="1" sqref="A3:A24">
      <formula1>"Game Mastery,Teamwork,Personal Development,Esports Citizen,Digital skills,Skill Evaluation,Master Plan,Basic Mechanics,End Of Road,Duo Snatcher,Tactical Minds,Role Player,Learn In Action,Goal Scorer,Player Performance,Conduct Creator,Code Keeper,Positive "&amp;"Voice,Data Logger,Prep Master,Memory Maker,End of  the Road"</formula1>
    </dataValidation>
    <dataValidation type="custom" allowBlank="1" showDropDown="1" sqref="C3:C24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workbookViewId="0"/>
  </sheetViews>
  <sheetFormatPr customHeight="1" defaultColWidth="12.63" defaultRowHeight="15.75"/>
  <sheetData>
    <row r="2" ht="22.5" customHeight="1">
      <c r="A2" s="23" t="s">
        <v>95</v>
      </c>
      <c r="B2" s="23" t="s">
        <v>75</v>
      </c>
      <c r="C2" s="23" t="s">
        <v>76</v>
      </c>
      <c r="D2" s="23" t="s">
        <v>77</v>
      </c>
      <c r="E2" s="23" t="s">
        <v>78</v>
      </c>
      <c r="F2" s="23" t="s">
        <v>79</v>
      </c>
      <c r="G2" s="23" t="s">
        <v>80</v>
      </c>
      <c r="H2" s="23" t="s">
        <v>81</v>
      </c>
      <c r="I2" s="23" t="s">
        <v>82</v>
      </c>
      <c r="J2" s="23" t="s">
        <v>83</v>
      </c>
      <c r="K2" s="23" t="s">
        <v>84</v>
      </c>
      <c r="L2" s="23" t="s">
        <v>85</v>
      </c>
      <c r="M2" s="23" t="s">
        <v>86</v>
      </c>
      <c r="N2" s="23" t="s">
        <v>87</v>
      </c>
      <c r="O2" s="23" t="s">
        <v>88</v>
      </c>
      <c r="P2" s="23" t="s">
        <v>89</v>
      </c>
      <c r="Q2" s="23" t="s">
        <v>90</v>
      </c>
    </row>
    <row r="3" ht="22.5" customHeight="1">
      <c r="A3" s="25" t="s">
        <v>96</v>
      </c>
      <c r="B3" s="26">
        <f>'RTD Module 1 - Points Tracker'!D3+'RTD Module 1 - Points Tracker'!D8+'RTD Module 1 - Points Tracker'!D9+'RTD Module 1 - Points Tracker'!D10+'RTD Module 1 - Points Tracker'!D23</f>
        <v>86</v>
      </c>
      <c r="C3" s="26">
        <f>'RTD Module 1 - Points Tracker'!E3+'RTD Module 1 - Points Tracker'!E8+'RTD Module 1 - Points Tracker'!E9+'RTD Module 1 - Points Tracker'!E10+'RTD Module 1 - Points Tracker'!E23</f>
        <v>60</v>
      </c>
      <c r="D3" s="26">
        <f>'RTD Module 1 - Points Tracker'!F3+'RTD Module 1 - Points Tracker'!F8+'RTD Module 1 - Points Tracker'!F9+'RTD Module 1 - Points Tracker'!F10+'RTD Module 1 - Points Tracker'!F23</f>
        <v>30</v>
      </c>
      <c r="E3" s="26">
        <f>'RTD Module 1 - Points Tracker'!G3+'RTD Module 1 - Points Tracker'!G8+'RTD Module 1 - Points Tracker'!G9+'RTD Module 1 - Points Tracker'!G10+'RTD Module 1 - Points Tracker'!G23</f>
        <v>41</v>
      </c>
      <c r="F3" s="26">
        <f>'RTD Module 1 - Points Tracker'!H3+'RTD Module 1 - Points Tracker'!H8+'RTD Module 1 - Points Tracker'!H9+'RTD Module 1 - Points Tracker'!H10+'RTD Module 1 - Points Tracker'!H23</f>
        <v>38</v>
      </c>
      <c r="G3" s="26">
        <f>'RTD Module 1 - Points Tracker'!I3+'RTD Module 1 - Points Tracker'!I8+'RTD Module 1 - Points Tracker'!I9+'RTD Module 1 - Points Tracker'!I10+'RTD Module 1 - Points Tracker'!I23</f>
        <v>37</v>
      </c>
      <c r="H3" s="26">
        <f>'RTD Module 1 - Points Tracker'!J3+'RTD Module 1 - Points Tracker'!J8+'RTD Module 1 - Points Tracker'!J9+'RTD Module 1 - Points Tracker'!J10+'RTD Module 1 - Points Tracker'!J23</f>
        <v>80</v>
      </c>
      <c r="I3" s="26">
        <f>'RTD Module 1 - Points Tracker'!K3+'RTD Module 1 - Points Tracker'!K8+'RTD Module 1 - Points Tracker'!K9+'RTD Module 1 - Points Tracker'!K10+'RTD Module 1 - Points Tracker'!K23</f>
        <v>72</v>
      </c>
      <c r="J3" s="26">
        <f>'RTD Module 1 - Points Tracker'!L3+'RTD Module 1 - Points Tracker'!L8+'RTD Module 1 - Points Tracker'!L9+'RTD Module 1 - Points Tracker'!L10+'RTD Module 1 - Points Tracker'!L23</f>
        <v>38</v>
      </c>
      <c r="K3" s="26">
        <f>'RTD Module 1 - Points Tracker'!M3+'RTD Module 1 - Points Tracker'!M8+'RTD Module 1 - Points Tracker'!M9+'RTD Module 1 - Points Tracker'!M10+'RTD Module 1 - Points Tracker'!M23</f>
        <v>70</v>
      </c>
      <c r="L3" s="26">
        <f>'RTD Module 1 - Points Tracker'!N3+'RTD Module 1 - Points Tracker'!N8+'RTD Module 1 - Points Tracker'!N9+'RTD Module 1 - Points Tracker'!N10+'RTD Module 1 - Points Tracker'!N23</f>
        <v>60</v>
      </c>
      <c r="M3" s="26">
        <f>'RTD Module 1 - Points Tracker'!O3+'RTD Module 1 - Points Tracker'!O8+'RTD Module 1 - Points Tracker'!O9+'RTD Module 1 - Points Tracker'!O10+'RTD Module 1 - Points Tracker'!O23</f>
        <v>94</v>
      </c>
      <c r="N3" s="26">
        <f>'RTD Module 1 - Points Tracker'!P3+'RTD Module 1 - Points Tracker'!P8+'RTD Module 1 - Points Tracker'!P9+'RTD Module 1 - Points Tracker'!P10+'RTD Module 1 - Points Tracker'!P23</f>
        <v>46</v>
      </c>
      <c r="O3" s="26">
        <f>'RTD Module 1 - Points Tracker'!Q3+'RTD Module 1 - Points Tracker'!Q8+'RTD Module 1 - Points Tracker'!Q9+'RTD Module 1 - Points Tracker'!Q10+'RTD Module 1 - Points Tracker'!Q23</f>
        <v>44</v>
      </c>
      <c r="P3" s="26">
        <f>'RTD Module 1 - Points Tracker'!R3+'RTD Module 1 - Points Tracker'!R8+'RTD Module 1 - Points Tracker'!R9+'RTD Module 1 - Points Tracker'!R10+'RTD Module 1 - Points Tracker'!R23</f>
        <v>62</v>
      </c>
      <c r="Q3" s="26">
        <f>'RTD Module 1 - Points Tracker'!S3+'RTD Module 1 - Points Tracker'!S8+'RTD Module 1 - Points Tracker'!S9+'RTD Module 1 - Points Tracker'!S10+'RTD Module 1 - Points Tracker'!S23</f>
        <v>80</v>
      </c>
    </row>
    <row r="4" ht="22.5" customHeight="1">
      <c r="A4" s="25" t="s">
        <v>97</v>
      </c>
      <c r="B4" s="26">
        <f>'RTD Module 1 - Points Tracker'!D4+'RTD Module 1 - Points Tracker'!D11+'RTD Module 1 - Points Tracker'!D12+'RTD Module 1 - Points Tracker'!D13</f>
        <v>71</v>
      </c>
      <c r="C4" s="26">
        <f>'RTD Module 1 - Points Tracker'!E4+'RTD Module 1 - Points Tracker'!E11+'RTD Module 1 - Points Tracker'!E12+'RTD Module 1 - Points Tracker'!E13</f>
        <v>53</v>
      </c>
      <c r="D4" s="26">
        <f>'RTD Module 1 - Points Tracker'!F4+'RTD Module 1 - Points Tracker'!F11+'RTD Module 1 - Points Tracker'!F12+'RTD Module 1 - Points Tracker'!F13</f>
        <v>25</v>
      </c>
      <c r="E4" s="26">
        <f>'RTD Module 1 - Points Tracker'!G4+'RTD Module 1 - Points Tracker'!G11+'RTD Module 1 - Points Tracker'!G12+'RTD Module 1 - Points Tracker'!G13</f>
        <v>47</v>
      </c>
      <c r="F4" s="26">
        <f>'RTD Module 1 - Points Tracker'!H4+'RTD Module 1 - Points Tracker'!H11+'RTD Module 1 - Points Tracker'!H12+'RTD Module 1 - Points Tracker'!H13</f>
        <v>42</v>
      </c>
      <c r="G4" s="26">
        <f>'RTD Module 1 - Points Tracker'!I4+'RTD Module 1 - Points Tracker'!I11+'RTD Module 1 - Points Tracker'!I12+'RTD Module 1 - Points Tracker'!I13</f>
        <v>36</v>
      </c>
      <c r="H4" s="26">
        <f>'RTD Module 1 - Points Tracker'!J4+'RTD Module 1 - Points Tracker'!J11+'RTD Module 1 - Points Tracker'!J12+'RTD Module 1 - Points Tracker'!J13</f>
        <v>25</v>
      </c>
      <c r="I4" s="26">
        <f>'RTD Module 1 - Points Tracker'!K4+'RTD Module 1 - Points Tracker'!K11+'RTD Module 1 - Points Tracker'!K12+'RTD Module 1 - Points Tracker'!K13</f>
        <v>71</v>
      </c>
      <c r="J4" s="26">
        <f>'RTD Module 1 - Points Tracker'!L4+'RTD Module 1 - Points Tracker'!L11+'RTD Module 1 - Points Tracker'!L12+'RTD Module 1 - Points Tracker'!L13</f>
        <v>33</v>
      </c>
      <c r="K4" s="26">
        <f>'RTD Module 1 - Points Tracker'!M4+'RTD Module 1 - Points Tracker'!M11+'RTD Module 1 - Points Tracker'!M12+'RTD Module 1 - Points Tracker'!M13</f>
        <v>68</v>
      </c>
      <c r="L4" s="26">
        <f>'RTD Module 1 - Points Tracker'!N4+'RTD Module 1 - Points Tracker'!N11+'RTD Module 1 - Points Tracker'!N12+'RTD Module 1 - Points Tracker'!N13</f>
        <v>68</v>
      </c>
      <c r="M4" s="26">
        <f>'RTD Module 1 - Points Tracker'!O4+'RTD Module 1 - Points Tracker'!O11+'RTD Module 1 - Points Tracker'!O12+'RTD Module 1 - Points Tracker'!O13</f>
        <v>71</v>
      </c>
      <c r="N4" s="26">
        <f>'RTD Module 1 - Points Tracker'!P4+'RTD Module 1 - Points Tracker'!P11+'RTD Module 1 - Points Tracker'!P12+'RTD Module 1 - Points Tracker'!P13</f>
        <v>39</v>
      </c>
      <c r="O4" s="26">
        <f>'RTD Module 1 - Points Tracker'!Q4+'RTD Module 1 - Points Tracker'!Q11+'RTD Module 1 - Points Tracker'!Q12+'RTD Module 1 - Points Tracker'!Q13</f>
        <v>43</v>
      </c>
      <c r="P4" s="26">
        <f>'RTD Module 1 - Points Tracker'!R4+'RTD Module 1 - Points Tracker'!R11+'RTD Module 1 - Points Tracker'!R12+'RTD Module 1 - Points Tracker'!R13</f>
        <v>25</v>
      </c>
      <c r="Q4" s="26">
        <f>'RTD Module 1 - Points Tracker'!S4+'RTD Module 1 - Points Tracker'!S11+'RTD Module 1 - Points Tracker'!S12+'RTD Module 1 - Points Tracker'!S13</f>
        <v>53</v>
      </c>
    </row>
    <row r="5" ht="22.5" customHeight="1">
      <c r="A5" s="25" t="s">
        <v>32</v>
      </c>
      <c r="B5" s="26">
        <f>'RTD Module 1 - Points Tracker'!D5+'RTD Module 1 - Points Tracker'!D14+'RTD Module 1 - Points Tracker'!D15+'RTD Module 1 - Points Tracker'!D16</f>
        <v>45</v>
      </c>
      <c r="C5" s="26">
        <f>'RTD Module 1 - Points Tracker'!E5+'RTD Module 1 - Points Tracker'!E14+'RTD Module 1 - Points Tracker'!E15+'RTD Module 1 - Points Tracker'!E16</f>
        <v>27</v>
      </c>
      <c r="D5" s="26">
        <f>'RTD Module 1 - Points Tracker'!F5+'RTD Module 1 - Points Tracker'!F14+'RTD Module 1 - Points Tracker'!F15+'RTD Module 1 - Points Tracker'!F16</f>
        <v>6</v>
      </c>
      <c r="E5" s="26">
        <f>'RTD Module 1 - Points Tracker'!G5+'RTD Module 1 - Points Tracker'!G14+'RTD Module 1 - Points Tracker'!G15+'RTD Module 1 - Points Tracker'!G16</f>
        <v>24</v>
      </c>
      <c r="F5" s="26">
        <f>'RTD Module 1 - Points Tracker'!H5+'RTD Module 1 - Points Tracker'!H14+'RTD Module 1 - Points Tracker'!H15+'RTD Module 1 - Points Tracker'!H16</f>
        <v>27</v>
      </c>
      <c r="G5" s="26">
        <f>'RTD Module 1 - Points Tracker'!I5+'RTD Module 1 - Points Tracker'!I14+'RTD Module 1 - Points Tracker'!I15+'RTD Module 1 - Points Tracker'!I16</f>
        <v>27</v>
      </c>
      <c r="H5" s="26">
        <f>'RTD Module 1 - Points Tracker'!J5+'RTD Module 1 - Points Tracker'!J14+'RTD Module 1 - Points Tracker'!J15+'RTD Module 1 - Points Tracker'!J16</f>
        <v>54</v>
      </c>
      <c r="I5" s="26">
        <f>'RTD Module 1 - Points Tracker'!K5+'RTD Module 1 - Points Tracker'!K14+'RTD Module 1 - Points Tracker'!K15+'RTD Module 1 - Points Tracker'!K16</f>
        <v>54</v>
      </c>
      <c r="J5" s="26">
        <f>'RTD Module 1 - Points Tracker'!L5+'RTD Module 1 - Points Tracker'!L14+'RTD Module 1 - Points Tracker'!L15+'RTD Module 1 - Points Tracker'!L16</f>
        <v>21</v>
      </c>
      <c r="K5" s="26">
        <f>'RTD Module 1 - Points Tracker'!M5+'RTD Module 1 - Points Tracker'!M14+'RTD Module 1 - Points Tracker'!M15+'RTD Module 1 - Points Tracker'!M16</f>
        <v>54</v>
      </c>
      <c r="L5" s="26">
        <f>'RTD Module 1 - Points Tracker'!N5+'RTD Module 1 - Points Tracker'!N14+'RTD Module 1 - Points Tracker'!N15+'RTD Module 1 - Points Tracker'!N16</f>
        <v>54</v>
      </c>
      <c r="M5" s="26">
        <f>'RTD Module 1 - Points Tracker'!O5+'RTD Module 1 - Points Tracker'!O14+'RTD Module 1 - Points Tracker'!O15+'RTD Module 1 - Points Tracker'!O16</f>
        <v>54</v>
      </c>
      <c r="N5" s="26">
        <f>'RTD Module 1 - Points Tracker'!P5+'RTD Module 1 - Points Tracker'!P14+'RTD Module 1 - Points Tracker'!P15+'RTD Module 1 - Points Tracker'!P16</f>
        <v>27</v>
      </c>
      <c r="O5" s="26">
        <f>'RTD Module 1 - Points Tracker'!Q5+'RTD Module 1 - Points Tracker'!Q14+'RTD Module 1 - Points Tracker'!Q15+'RTD Module 1 - Points Tracker'!Q16</f>
        <v>25</v>
      </c>
      <c r="P5" s="26">
        <f>'RTD Module 1 - Points Tracker'!R5+'RTD Module 1 - Points Tracker'!R14+'RTD Module 1 - Points Tracker'!R15+'RTD Module 1 - Points Tracker'!R16</f>
        <v>51</v>
      </c>
      <c r="Q5" s="26">
        <f>'RTD Module 1 - Points Tracker'!S5+'RTD Module 1 - Points Tracker'!S14+'RTD Module 1 - Points Tracker'!S15+'RTD Module 1 - Points Tracker'!S16</f>
        <v>27</v>
      </c>
    </row>
    <row r="6" ht="22.5" customHeight="1">
      <c r="A6" s="25" t="s">
        <v>39</v>
      </c>
      <c r="B6" s="26">
        <f>'RTD Module 1 - Points Tracker'!D6+'RTD Module 1 - Points Tracker'!D17+'RTD Module 1 - Points Tracker'!D18+'RTD Module 1 - Points Tracker'!D19</f>
        <v>34</v>
      </c>
      <c r="C6" s="26">
        <f>'RTD Module 1 - Points Tracker'!E6+'RTD Module 1 - Points Tracker'!E17+'RTD Module 1 - Points Tracker'!E18+'RTD Module 1 - Points Tracker'!E19</f>
        <v>59</v>
      </c>
      <c r="D6" s="26">
        <f>'RTD Module 1 - Points Tracker'!F6+'RTD Module 1 - Points Tracker'!F17+'RTD Module 1 - Points Tracker'!F18+'RTD Module 1 - Points Tracker'!F19</f>
        <v>14</v>
      </c>
      <c r="E6" s="26">
        <f>'RTD Module 1 - Points Tracker'!G6+'RTD Module 1 - Points Tracker'!G17+'RTD Module 1 - Points Tracker'!G18+'RTD Module 1 - Points Tracker'!G19</f>
        <v>32</v>
      </c>
      <c r="F6" s="26">
        <f>'RTD Module 1 - Points Tracker'!H6+'RTD Module 1 - Points Tracker'!H17+'RTD Module 1 - Points Tracker'!H18+'RTD Module 1 - Points Tracker'!H19</f>
        <v>23</v>
      </c>
      <c r="G6" s="26">
        <f>'RTD Module 1 - Points Tracker'!I6+'RTD Module 1 - Points Tracker'!I17+'RTD Module 1 - Points Tracker'!I18+'RTD Module 1 - Points Tracker'!I19</f>
        <v>43</v>
      </c>
      <c r="H6" s="26">
        <f>'RTD Module 1 - Points Tracker'!J6+'RTD Module 1 - Points Tracker'!J17+'RTD Module 1 - Points Tracker'!J18+'RTD Module 1 - Points Tracker'!J19</f>
        <v>59</v>
      </c>
      <c r="I6" s="26">
        <f>'RTD Module 1 - Points Tracker'!K6+'RTD Module 1 - Points Tracker'!K17+'RTD Module 1 - Points Tracker'!K18+'RTD Module 1 - Points Tracker'!K19</f>
        <v>50</v>
      </c>
      <c r="J6" s="26">
        <f>'RTD Module 1 - Points Tracker'!L6+'RTD Module 1 - Points Tracker'!L17+'RTD Module 1 - Points Tracker'!L18+'RTD Module 1 - Points Tracker'!L19</f>
        <v>19</v>
      </c>
      <c r="K6" s="26">
        <f>'RTD Module 1 - Points Tracker'!M6+'RTD Module 1 - Points Tracker'!M17+'RTD Module 1 - Points Tracker'!M18+'RTD Module 1 - Points Tracker'!M19</f>
        <v>50</v>
      </c>
      <c r="L6" s="26">
        <f>'RTD Module 1 - Points Tracker'!N6+'RTD Module 1 - Points Tracker'!N17+'RTD Module 1 - Points Tracker'!N18+'RTD Module 1 - Points Tracker'!N19</f>
        <v>34</v>
      </c>
      <c r="M6" s="26">
        <f>'RTD Module 1 - Points Tracker'!O6+'RTD Module 1 - Points Tracker'!O17+'RTD Module 1 - Points Tracker'!O18+'RTD Module 1 - Points Tracker'!O19</f>
        <v>53</v>
      </c>
      <c r="N6" s="26">
        <f>'RTD Module 1 - Points Tracker'!P6+'RTD Module 1 - Points Tracker'!P17+'RTD Module 1 - Points Tracker'!P18+'RTD Module 1 - Points Tracker'!P19</f>
        <v>43</v>
      </c>
      <c r="O6" s="26">
        <f>'RTD Module 1 - Points Tracker'!Q6+'RTD Module 1 - Points Tracker'!Q17+'RTD Module 1 - Points Tracker'!Q18+'RTD Module 1 - Points Tracker'!Q19</f>
        <v>23</v>
      </c>
      <c r="P6" s="26">
        <f>'RTD Module 1 - Points Tracker'!R6+'RTD Module 1 - Points Tracker'!R17+'RTD Module 1 - Points Tracker'!R18+'RTD Module 1 - Points Tracker'!R19</f>
        <v>20</v>
      </c>
      <c r="Q6" s="26">
        <f>'RTD Module 1 - Points Tracker'!S6+'RTD Module 1 - Points Tracker'!S17+'RTD Module 1 - Points Tracker'!S18+'RTD Module 1 - Points Tracker'!S19</f>
        <v>34</v>
      </c>
    </row>
    <row r="7" ht="22.5" customHeight="1">
      <c r="A7" s="25" t="s">
        <v>98</v>
      </c>
      <c r="B7" s="26">
        <f>'RTD Module 1 - Points Tracker'!D7+'RTD Module 1 - Points Tracker'!D20+'RTD Module 1 - Points Tracker'!D21+'RTD Module 1 - Points Tracker'!D22</f>
        <v>60</v>
      </c>
      <c r="C7" s="26">
        <f>'RTD Module 1 - Points Tracker'!E7+'RTD Module 1 - Points Tracker'!E20+'RTD Module 1 - Points Tracker'!E21+'RTD Module 1 - Points Tracker'!E22</f>
        <v>31</v>
      </c>
      <c r="D7" s="26">
        <f>'RTD Module 1 - Points Tracker'!F7+'RTD Module 1 - Points Tracker'!F20+'RTD Module 1 - Points Tracker'!F21+'RTD Module 1 - Points Tracker'!F22</f>
        <v>15</v>
      </c>
      <c r="E7" s="26">
        <f>'RTD Module 1 - Points Tracker'!G7+'RTD Module 1 - Points Tracker'!G20+'RTD Module 1 - Points Tracker'!G21+'RTD Module 1 - Points Tracker'!G22</f>
        <v>15</v>
      </c>
      <c r="F7" s="26">
        <f>'RTD Module 1 - Points Tracker'!H7+'RTD Module 1 - Points Tracker'!H20+'RTD Module 1 - Points Tracker'!H21+'RTD Module 1 - Points Tracker'!H22</f>
        <v>15</v>
      </c>
      <c r="G7" s="26">
        <f>'RTD Module 1 - Points Tracker'!I7+'RTD Module 1 - Points Tracker'!I20+'RTD Module 1 - Points Tracker'!I21+'RTD Module 1 - Points Tracker'!I22</f>
        <v>23</v>
      </c>
      <c r="H7" s="26">
        <f>'RTD Module 1 - Points Tracker'!J7+'RTD Module 1 - Points Tracker'!J20+'RTD Module 1 - Points Tracker'!J21+'RTD Module 1 - Points Tracker'!J22</f>
        <v>37</v>
      </c>
      <c r="I7" s="26">
        <f>'RTD Module 1 - Points Tracker'!K7+'RTD Module 1 - Points Tracker'!K20+'RTD Module 1 - Points Tracker'!K21+'RTD Module 1 - Points Tracker'!K22</f>
        <v>60</v>
      </c>
      <c r="J7" s="26">
        <f>'RTD Module 1 - Points Tracker'!L7+'RTD Module 1 - Points Tracker'!L20+'RTD Module 1 - Points Tracker'!L21+'RTD Module 1 - Points Tracker'!L22</f>
        <v>29</v>
      </c>
      <c r="K7" s="26">
        <f>'RTD Module 1 - Points Tracker'!M7+'RTD Module 1 - Points Tracker'!M20+'RTD Module 1 - Points Tracker'!M21+'RTD Module 1 - Points Tracker'!M22</f>
        <v>60</v>
      </c>
      <c r="L7" s="26">
        <f>'RTD Module 1 - Points Tracker'!N7+'RTD Module 1 - Points Tracker'!N20+'RTD Module 1 - Points Tracker'!N21+'RTD Module 1 - Points Tracker'!N22</f>
        <v>33</v>
      </c>
      <c r="M7" s="26">
        <f>'RTD Module 1 - Points Tracker'!O7+'RTD Module 1 - Points Tracker'!O20+'RTD Module 1 - Points Tracker'!O21+'RTD Module 1 - Points Tracker'!O22</f>
        <v>60</v>
      </c>
      <c r="N7" s="26">
        <f>'RTD Module 1 - Points Tracker'!P7+'RTD Module 1 - Points Tracker'!P20+'RTD Module 1 - Points Tracker'!P21+'RTD Module 1 - Points Tracker'!P22</f>
        <v>29</v>
      </c>
      <c r="O7" s="26">
        <f>'RTD Module 1 - Points Tracker'!Q7+'RTD Module 1 - Points Tracker'!Q20+'RTD Module 1 - Points Tracker'!Q21+'RTD Module 1 - Points Tracker'!Q22</f>
        <v>31</v>
      </c>
      <c r="P7" s="26">
        <f>'RTD Module 1 - Points Tracker'!R7+'RTD Module 1 - Points Tracker'!R20+'RTD Module 1 - Points Tracker'!R21+'RTD Module 1 - Points Tracker'!R22</f>
        <v>37</v>
      </c>
      <c r="Q7" s="26">
        <f>'RTD Module 1 - Points Tracker'!S7+'RTD Module 1 - Points Tracker'!S20+'RTD Module 1 - Points Tracker'!S21+'RTD Module 1 - Points Tracker'!S22</f>
        <v>60</v>
      </c>
    </row>
  </sheetData>
  <conditionalFormatting sqref="B3:Q7">
    <cfRule type="cellIs" dxfId="5" priority="1" operator="between">
      <formula>0</formula>
      <formula>30</formula>
    </cfRule>
  </conditionalFormatting>
  <conditionalFormatting sqref="B3:Q7">
    <cfRule type="cellIs" dxfId="6" priority="2" operator="between">
      <formula>31</formula>
      <formula>70</formula>
    </cfRule>
  </conditionalFormatting>
  <conditionalFormatting sqref="P16">
    <cfRule type="notContainsBlanks" dxfId="7" priority="3">
      <formula>LEN(TRIM(P16))&gt;0</formula>
    </cfRule>
  </conditionalFormatting>
  <conditionalFormatting sqref="B3:Q7">
    <cfRule type="cellIs" dxfId="8" priority="4" operator="between">
      <formula>71</formula>
      <formula>120</formula>
    </cfRule>
  </conditionalFormatting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63"/>
    <col customWidth="1" min="2" max="2" width="19.38"/>
    <col customWidth="1" min="3" max="3" width="10.75"/>
    <col customWidth="1" min="4" max="4" width="37.63"/>
    <col customWidth="1" min="5" max="6" width="22.5"/>
    <col customWidth="1" min="7" max="7" width="20.88"/>
    <col hidden="1" min="8" max="8" width="12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</row>
    <row r="2" ht="22.5" customHeight="1">
      <c r="A2" s="3" t="s">
        <v>8</v>
      </c>
      <c r="B2" s="4" t="s">
        <v>99</v>
      </c>
      <c r="C2" s="4">
        <v>3.0</v>
      </c>
      <c r="D2" s="4" t="s">
        <v>100</v>
      </c>
      <c r="E2" s="3" t="s">
        <v>18</v>
      </c>
      <c r="F2" s="3" t="s">
        <v>17</v>
      </c>
      <c r="G2" s="3" t="s">
        <v>19</v>
      </c>
      <c r="H2" s="2" t="s">
        <v>14</v>
      </c>
    </row>
    <row r="3" ht="22.5" customHeight="1">
      <c r="A3" s="3" t="s">
        <v>8</v>
      </c>
      <c r="B3" s="4" t="s">
        <v>101</v>
      </c>
      <c r="C3" s="4">
        <v>6.0</v>
      </c>
      <c r="D3" s="4" t="s">
        <v>102</v>
      </c>
      <c r="E3" s="3" t="s">
        <v>12</v>
      </c>
      <c r="F3" s="3" t="s">
        <v>31</v>
      </c>
      <c r="G3" s="3" t="s">
        <v>13</v>
      </c>
      <c r="H3" s="2" t="s">
        <v>19</v>
      </c>
    </row>
    <row r="4" ht="22.5" customHeight="1">
      <c r="A4" s="3" t="s">
        <v>8</v>
      </c>
      <c r="B4" s="4" t="s">
        <v>103</v>
      </c>
      <c r="C4" s="4">
        <v>6.0</v>
      </c>
      <c r="D4" s="4" t="s">
        <v>104</v>
      </c>
      <c r="E4" s="3" t="s">
        <v>17</v>
      </c>
      <c r="F4" s="3" t="s">
        <v>17</v>
      </c>
      <c r="G4" s="3" t="s">
        <v>46</v>
      </c>
      <c r="H4" s="2"/>
    </row>
    <row r="5" ht="22.5" customHeight="1">
      <c r="A5" s="3" t="s">
        <v>22</v>
      </c>
      <c r="B5" s="4" t="s">
        <v>105</v>
      </c>
      <c r="C5" s="4">
        <v>3.0</v>
      </c>
      <c r="D5" s="4" t="s">
        <v>106</v>
      </c>
      <c r="E5" s="3" t="s">
        <v>19</v>
      </c>
      <c r="F5" s="3" t="s">
        <v>25</v>
      </c>
      <c r="G5" s="3" t="s">
        <v>11</v>
      </c>
      <c r="H5" s="2" t="s">
        <v>26</v>
      </c>
    </row>
    <row r="6" ht="22.5" customHeight="1">
      <c r="A6" s="3" t="s">
        <v>22</v>
      </c>
      <c r="B6" s="4" t="s">
        <v>67</v>
      </c>
      <c r="C6" s="4">
        <v>6.0</v>
      </c>
      <c r="D6" s="4" t="s">
        <v>107</v>
      </c>
      <c r="E6" s="3" t="s">
        <v>11</v>
      </c>
      <c r="F6" s="3" t="s">
        <v>12</v>
      </c>
      <c r="G6" s="3" t="s">
        <v>19</v>
      </c>
      <c r="H6" s="2" t="s">
        <v>17</v>
      </c>
    </row>
    <row r="7" ht="22.5" customHeight="1">
      <c r="A7" s="3" t="s">
        <v>22</v>
      </c>
      <c r="B7" s="4" t="s">
        <v>108</v>
      </c>
      <c r="C7" s="4">
        <v>6.0</v>
      </c>
      <c r="D7" s="4" t="s">
        <v>109</v>
      </c>
      <c r="E7" s="3" t="s">
        <v>19</v>
      </c>
      <c r="F7" s="3" t="s">
        <v>31</v>
      </c>
      <c r="G7" s="3" t="s">
        <v>11</v>
      </c>
      <c r="H7" s="2" t="s">
        <v>18</v>
      </c>
    </row>
    <row r="8" ht="22.5" customHeight="1">
      <c r="A8" s="3" t="s">
        <v>32</v>
      </c>
      <c r="B8" s="4" t="s">
        <v>110</v>
      </c>
      <c r="C8" s="4">
        <v>3.0</v>
      </c>
      <c r="D8" s="4" t="s">
        <v>111</v>
      </c>
      <c r="E8" s="3" t="s">
        <v>13</v>
      </c>
      <c r="F8" s="3" t="s">
        <v>11</v>
      </c>
      <c r="G8" s="3" t="s">
        <v>26</v>
      </c>
      <c r="H8" s="2" t="s">
        <v>13</v>
      </c>
    </row>
    <row r="9" ht="22.5" customHeight="1">
      <c r="A9" s="3" t="s">
        <v>32</v>
      </c>
      <c r="B9" s="4" t="s">
        <v>112</v>
      </c>
      <c r="C9" s="4">
        <v>6.0</v>
      </c>
      <c r="D9" s="4" t="s">
        <v>113</v>
      </c>
      <c r="E9" s="3" t="s">
        <v>12</v>
      </c>
      <c r="F9" s="3" t="s">
        <v>11</v>
      </c>
      <c r="G9" s="3" t="s">
        <v>31</v>
      </c>
      <c r="H9" s="2" t="s">
        <v>25</v>
      </c>
    </row>
    <row r="10" ht="22.5" customHeight="1">
      <c r="A10" s="3" t="s">
        <v>32</v>
      </c>
      <c r="B10" s="4" t="s">
        <v>114</v>
      </c>
      <c r="C10" s="4">
        <v>6.0</v>
      </c>
      <c r="D10" s="4" t="s">
        <v>115</v>
      </c>
      <c r="E10" s="3" t="s">
        <v>11</v>
      </c>
      <c r="F10" s="3" t="s">
        <v>12</v>
      </c>
      <c r="G10" s="3" t="s">
        <v>31</v>
      </c>
      <c r="H10" s="2" t="s">
        <v>11</v>
      </c>
    </row>
    <row r="11" ht="22.5" customHeight="1">
      <c r="A11" s="3" t="s">
        <v>39</v>
      </c>
      <c r="B11" s="4" t="s">
        <v>116</v>
      </c>
      <c r="C11" s="4">
        <v>6.0</v>
      </c>
      <c r="D11" s="4" t="s">
        <v>117</v>
      </c>
      <c r="E11" s="3" t="s">
        <v>19</v>
      </c>
      <c r="F11" s="3" t="s">
        <v>12</v>
      </c>
      <c r="G11" s="3" t="s">
        <v>18</v>
      </c>
      <c r="H11" s="2" t="s">
        <v>31</v>
      </c>
    </row>
    <row r="12" ht="22.5" customHeight="1">
      <c r="A12" s="3" t="s">
        <v>39</v>
      </c>
      <c r="B12" s="4" t="s">
        <v>118</v>
      </c>
      <c r="C12" s="4">
        <v>6.0</v>
      </c>
      <c r="D12" s="4" t="s">
        <v>119</v>
      </c>
      <c r="E12" s="3" t="s">
        <v>31</v>
      </c>
      <c r="F12" s="3" t="s">
        <v>12</v>
      </c>
      <c r="G12" s="3" t="s">
        <v>11</v>
      </c>
      <c r="H12" s="2" t="s">
        <v>12</v>
      </c>
    </row>
    <row r="13" ht="22.5" customHeight="1">
      <c r="A13" s="3" t="s">
        <v>39</v>
      </c>
      <c r="B13" s="4" t="s">
        <v>120</v>
      </c>
      <c r="C13" s="4">
        <v>3.0</v>
      </c>
      <c r="D13" s="4" t="s">
        <v>121</v>
      </c>
      <c r="E13" s="3" t="s">
        <v>19</v>
      </c>
      <c r="F13" s="3" t="s">
        <v>26</v>
      </c>
      <c r="G13" s="3" t="s">
        <v>11</v>
      </c>
      <c r="H13" s="2" t="s">
        <v>46</v>
      </c>
    </row>
    <row r="14" ht="22.5" customHeight="1">
      <c r="A14" s="3" t="s">
        <v>47</v>
      </c>
      <c r="B14" s="4" t="s">
        <v>122</v>
      </c>
      <c r="C14" s="4">
        <v>6.0</v>
      </c>
      <c r="D14" s="4" t="s">
        <v>123</v>
      </c>
      <c r="E14" s="3" t="s">
        <v>17</v>
      </c>
      <c r="F14" s="3" t="s">
        <v>25</v>
      </c>
      <c r="G14" s="3" t="s">
        <v>46</v>
      </c>
    </row>
    <row r="15" ht="22.5" customHeight="1">
      <c r="A15" s="3" t="s">
        <v>47</v>
      </c>
      <c r="B15" s="4" t="s">
        <v>124</v>
      </c>
      <c r="C15" s="4">
        <v>3.0</v>
      </c>
      <c r="D15" s="4" t="s">
        <v>125</v>
      </c>
      <c r="E15" s="3" t="s">
        <v>17</v>
      </c>
      <c r="F15" s="3" t="s">
        <v>46</v>
      </c>
      <c r="G15" s="3" t="s">
        <v>13</v>
      </c>
    </row>
    <row r="16" ht="22.5" customHeight="1">
      <c r="A16" s="3" t="s">
        <v>47</v>
      </c>
      <c r="B16" s="4" t="s">
        <v>126</v>
      </c>
      <c r="C16" s="4">
        <v>6.0</v>
      </c>
      <c r="D16" s="4" t="s">
        <v>53</v>
      </c>
      <c r="E16" s="3" t="s">
        <v>46</v>
      </c>
      <c r="F16" s="3" t="s">
        <v>17</v>
      </c>
      <c r="G16" s="3" t="s">
        <v>19</v>
      </c>
    </row>
    <row r="17" ht="22.5" customHeight="1">
      <c r="A17" s="3" t="s">
        <v>8</v>
      </c>
      <c r="B17" s="4" t="s">
        <v>127</v>
      </c>
      <c r="C17" s="4">
        <v>15.0</v>
      </c>
      <c r="D17" s="4" t="s">
        <v>128</v>
      </c>
      <c r="E17" s="3" t="s">
        <v>46</v>
      </c>
      <c r="F17" s="3" t="s">
        <v>12</v>
      </c>
      <c r="G17" s="3" t="s">
        <v>11</v>
      </c>
    </row>
    <row r="18" ht="22.5" customHeight="1">
      <c r="A18" s="3" t="s">
        <v>22</v>
      </c>
      <c r="B18" s="4" t="s">
        <v>129</v>
      </c>
      <c r="C18" s="4">
        <v>15.0</v>
      </c>
      <c r="D18" s="4" t="s">
        <v>130</v>
      </c>
      <c r="E18" s="3" t="s">
        <v>19</v>
      </c>
      <c r="F18" s="3" t="s">
        <v>19</v>
      </c>
      <c r="G18" s="3" t="s">
        <v>11</v>
      </c>
    </row>
  </sheetData>
  <dataValidations>
    <dataValidation type="list" allowBlank="1" showErrorMessage="1" sqref="E2:G18">
      <formula1>#REF!</formula1>
    </dataValidation>
    <dataValidation type="list" allowBlank="1" showErrorMessage="1" sqref="A2:A18">
      <formula1>"Game Mastery,Teamwork,Personal Development,Esports Citizen,Digital skills"</formula1>
    </dataValidation>
  </dataValidations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38761D"/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8.63"/>
    <col customWidth="1" min="3" max="3" width="4.75"/>
    <col customWidth="1" min="11" max="11" width="11.0"/>
    <col customWidth="1" min="13" max="14" width="9.88"/>
    <col customWidth="1" min="15" max="15" width="11.13"/>
    <col customWidth="1" min="16" max="16" width="10.5"/>
    <col customWidth="1" min="17" max="17" width="8.63"/>
    <col customWidth="1" min="18" max="18" width="11.75"/>
  </cols>
  <sheetData>
    <row r="2" ht="22.5" customHeight="1">
      <c r="A2" s="22" t="s">
        <v>74</v>
      </c>
      <c r="B2" s="22" t="s">
        <v>1</v>
      </c>
      <c r="C2" s="22" t="s">
        <v>2</v>
      </c>
      <c r="D2" s="23" t="s">
        <v>75</v>
      </c>
      <c r="E2" s="23" t="s">
        <v>76</v>
      </c>
      <c r="F2" s="23" t="s">
        <v>77</v>
      </c>
      <c r="G2" s="23" t="s">
        <v>78</v>
      </c>
      <c r="H2" s="23" t="s">
        <v>79</v>
      </c>
      <c r="I2" s="23" t="s">
        <v>80</v>
      </c>
      <c r="J2" s="23" t="s">
        <v>81</v>
      </c>
      <c r="K2" s="23" t="s">
        <v>82</v>
      </c>
      <c r="L2" s="23" t="s">
        <v>83</v>
      </c>
      <c r="M2" s="23" t="s">
        <v>84</v>
      </c>
      <c r="N2" s="23" t="s">
        <v>85</v>
      </c>
      <c r="O2" s="23" t="s">
        <v>86</v>
      </c>
      <c r="P2" s="23" t="s">
        <v>87</v>
      </c>
      <c r="Q2" s="23" t="s">
        <v>88</v>
      </c>
      <c r="R2" s="23" t="s">
        <v>89</v>
      </c>
      <c r="S2" s="23" t="s">
        <v>90</v>
      </c>
    </row>
    <row r="3" ht="22.5" customHeight="1">
      <c r="A3" s="3" t="s">
        <v>8</v>
      </c>
      <c r="B3" s="4" t="s">
        <v>91</v>
      </c>
      <c r="C3" s="24"/>
      <c r="D3" s="4">
        <v>20.0</v>
      </c>
      <c r="E3" s="4">
        <v>13.0</v>
      </c>
      <c r="F3" s="4">
        <v>42.0</v>
      </c>
      <c r="G3" s="4">
        <v>48.0</v>
      </c>
      <c r="H3" s="4">
        <v>48.0</v>
      </c>
      <c r="I3" s="4">
        <v>36.0</v>
      </c>
      <c r="J3" s="4">
        <v>35.0</v>
      </c>
      <c r="K3" s="25">
        <v>12.0</v>
      </c>
      <c r="L3" s="25">
        <v>10.0</v>
      </c>
      <c r="M3" s="25">
        <v>44.0</v>
      </c>
      <c r="N3" s="25">
        <v>39.0</v>
      </c>
      <c r="O3" s="25">
        <v>22.0</v>
      </c>
      <c r="P3" s="25">
        <v>48.0</v>
      </c>
      <c r="Q3" s="26"/>
      <c r="R3" s="25">
        <v>12.0</v>
      </c>
      <c r="S3" s="25">
        <v>32.0</v>
      </c>
    </row>
    <row r="4" ht="22.5" customHeight="1">
      <c r="A4" s="3" t="s">
        <v>22</v>
      </c>
      <c r="B4" s="4" t="s">
        <v>91</v>
      </c>
      <c r="C4" s="24"/>
      <c r="D4" s="4">
        <v>18.0</v>
      </c>
      <c r="E4" s="4">
        <v>45.0</v>
      </c>
      <c r="F4" s="4">
        <v>38.0</v>
      </c>
      <c r="G4" s="4">
        <v>40.0</v>
      </c>
      <c r="H4" s="4">
        <v>40.0</v>
      </c>
      <c r="I4" s="4">
        <v>27.0</v>
      </c>
      <c r="J4" s="4">
        <v>38.0</v>
      </c>
      <c r="K4" s="25">
        <v>9.0</v>
      </c>
      <c r="L4" s="25">
        <v>12.0</v>
      </c>
      <c r="M4" s="25">
        <v>40.0</v>
      </c>
      <c r="N4" s="25">
        <v>40.0</v>
      </c>
      <c r="O4" s="25">
        <v>18.0</v>
      </c>
      <c r="P4" s="25">
        <v>40.0</v>
      </c>
      <c r="Q4" s="26"/>
      <c r="R4" s="25">
        <v>9.0</v>
      </c>
      <c r="S4" s="25">
        <v>40.0</v>
      </c>
    </row>
    <row r="5" ht="22.5" customHeight="1">
      <c r="A5" s="3" t="s">
        <v>32</v>
      </c>
      <c r="B5" s="4" t="s">
        <v>91</v>
      </c>
      <c r="C5" s="24"/>
      <c r="D5" s="4">
        <v>12.0</v>
      </c>
      <c r="E5" s="4">
        <v>22.0</v>
      </c>
      <c r="F5" s="4">
        <v>22.0</v>
      </c>
      <c r="G5" s="4">
        <v>22.0</v>
      </c>
      <c r="H5" s="4">
        <v>22.0</v>
      </c>
      <c r="I5" s="4">
        <v>20.0</v>
      </c>
      <c r="J5" s="4">
        <v>12.0</v>
      </c>
      <c r="K5" s="25">
        <v>12.0</v>
      </c>
      <c r="L5" s="25">
        <v>12.0</v>
      </c>
      <c r="M5" s="25">
        <v>22.0</v>
      </c>
      <c r="N5" s="25">
        <v>12.0</v>
      </c>
      <c r="O5" s="25">
        <v>12.0</v>
      </c>
      <c r="P5" s="25">
        <v>12.0</v>
      </c>
      <c r="Q5" s="26"/>
      <c r="R5" s="25">
        <v>12.0</v>
      </c>
      <c r="S5" s="25">
        <v>20.0</v>
      </c>
    </row>
    <row r="6" ht="22.5" customHeight="1">
      <c r="A6" s="3" t="s">
        <v>39</v>
      </c>
      <c r="B6" s="4" t="s">
        <v>91</v>
      </c>
      <c r="C6" s="24"/>
      <c r="D6" s="4">
        <v>21.0</v>
      </c>
      <c r="E6" s="4">
        <v>38.0</v>
      </c>
      <c r="F6" s="4">
        <v>21.0</v>
      </c>
      <c r="H6" s="4">
        <v>36.0</v>
      </c>
      <c r="I6" s="4">
        <v>38.0</v>
      </c>
      <c r="J6" s="4">
        <v>17.0</v>
      </c>
      <c r="K6" s="25">
        <v>21.0</v>
      </c>
      <c r="L6" s="25"/>
      <c r="M6" s="25">
        <v>38.0</v>
      </c>
      <c r="N6" s="25">
        <v>21.0</v>
      </c>
      <c r="O6" s="25">
        <v>21.0</v>
      </c>
      <c r="P6" s="25">
        <v>21.0</v>
      </c>
      <c r="Q6" s="26"/>
      <c r="R6" s="25">
        <v>21.0</v>
      </c>
      <c r="S6" s="25">
        <v>21.0</v>
      </c>
    </row>
    <row r="7" ht="22.5" customHeight="1">
      <c r="A7" s="3" t="s">
        <v>47</v>
      </c>
      <c r="B7" s="4" t="s">
        <v>91</v>
      </c>
      <c r="C7" s="24"/>
      <c r="D7" s="4">
        <v>25.0</v>
      </c>
      <c r="E7" s="4">
        <v>20.0</v>
      </c>
      <c r="F7" s="4">
        <v>32.0</v>
      </c>
      <c r="G7" s="4">
        <v>20.0</v>
      </c>
      <c r="H7" s="4">
        <v>32.0</v>
      </c>
      <c r="I7" s="4">
        <v>32.0</v>
      </c>
      <c r="J7" s="4">
        <v>25.0</v>
      </c>
      <c r="K7" s="25">
        <v>25.0</v>
      </c>
      <c r="L7" s="25">
        <v>6.0</v>
      </c>
      <c r="M7" s="25">
        <v>25.0</v>
      </c>
      <c r="N7" s="25">
        <v>32.0</v>
      </c>
      <c r="O7" s="25">
        <v>32.0</v>
      </c>
      <c r="P7" s="25">
        <v>25.0</v>
      </c>
      <c r="Q7" s="26"/>
      <c r="R7" s="25">
        <v>25.0</v>
      </c>
      <c r="S7" s="25">
        <v>25.0</v>
      </c>
    </row>
    <row r="8" ht="22.5" customHeight="1">
      <c r="A8" s="3" t="s">
        <v>8</v>
      </c>
      <c r="B8" s="4" t="s">
        <v>99</v>
      </c>
      <c r="C8" s="24">
        <v>3.0</v>
      </c>
      <c r="D8" s="4">
        <v>3.0</v>
      </c>
      <c r="E8" s="4">
        <v>3.0</v>
      </c>
      <c r="F8" s="4">
        <v>3.0</v>
      </c>
      <c r="G8" s="4">
        <v>3.0</v>
      </c>
      <c r="H8" s="4">
        <v>3.0</v>
      </c>
      <c r="K8" s="25">
        <v>3.0</v>
      </c>
      <c r="L8" s="25">
        <v>3.0</v>
      </c>
      <c r="M8" s="25">
        <v>3.0</v>
      </c>
      <c r="N8" s="25">
        <v>3.0</v>
      </c>
      <c r="O8" s="25">
        <v>3.0</v>
      </c>
      <c r="P8" s="25">
        <v>3.0</v>
      </c>
      <c r="Q8" s="25">
        <v>3.0</v>
      </c>
      <c r="R8" s="25">
        <v>3.0</v>
      </c>
      <c r="S8" s="26"/>
    </row>
    <row r="9" ht="22.5" customHeight="1">
      <c r="A9" s="3" t="s">
        <v>8</v>
      </c>
      <c r="B9" s="4" t="s">
        <v>101</v>
      </c>
      <c r="C9" s="24">
        <v>6.0</v>
      </c>
      <c r="D9" s="4">
        <v>6.0</v>
      </c>
      <c r="E9" s="4">
        <v>6.0</v>
      </c>
      <c r="F9" s="4">
        <v>6.0</v>
      </c>
      <c r="G9" s="4">
        <v>6.0</v>
      </c>
      <c r="H9" s="4">
        <v>6.0</v>
      </c>
      <c r="I9" s="4">
        <v>6.0</v>
      </c>
      <c r="J9" s="4">
        <v>6.0</v>
      </c>
      <c r="K9" s="25">
        <v>6.0</v>
      </c>
      <c r="L9" s="25">
        <v>6.0</v>
      </c>
      <c r="M9" s="25">
        <v>6.0</v>
      </c>
      <c r="N9" s="27"/>
      <c r="O9" s="25">
        <v>6.0</v>
      </c>
      <c r="P9" s="25">
        <v>6.0</v>
      </c>
      <c r="Q9" s="25">
        <v>6.0</v>
      </c>
      <c r="R9" s="25">
        <v>6.0</v>
      </c>
      <c r="S9" s="25">
        <v>6.0</v>
      </c>
    </row>
    <row r="10" ht="22.5" customHeight="1">
      <c r="A10" s="3" t="s">
        <v>8</v>
      </c>
      <c r="B10" s="4" t="s">
        <v>103</v>
      </c>
      <c r="C10" s="24">
        <v>6.0</v>
      </c>
      <c r="K10" s="26"/>
      <c r="L10" s="26"/>
      <c r="M10" s="26"/>
      <c r="N10" s="26"/>
      <c r="O10" s="26"/>
      <c r="P10" s="26"/>
      <c r="Q10" s="26"/>
      <c r="R10" s="26"/>
      <c r="S10" s="26"/>
    </row>
    <row r="11" ht="22.5" customHeight="1">
      <c r="A11" s="3" t="s">
        <v>22</v>
      </c>
      <c r="B11" s="4" t="s">
        <v>105</v>
      </c>
      <c r="C11" s="24">
        <v>3.0</v>
      </c>
      <c r="D11" s="4"/>
      <c r="E11" s="4"/>
      <c r="F11" s="4"/>
      <c r="K11" s="26"/>
      <c r="L11" s="26"/>
      <c r="M11" s="26"/>
      <c r="N11" s="26"/>
      <c r="O11" s="26"/>
      <c r="P11" s="26"/>
      <c r="Q11" s="26"/>
      <c r="R11" s="26"/>
      <c r="S11" s="26"/>
    </row>
    <row r="12" ht="22.5" customHeight="1">
      <c r="A12" s="3" t="s">
        <v>22</v>
      </c>
      <c r="B12" s="4" t="s">
        <v>67</v>
      </c>
      <c r="C12" s="24">
        <v>6.0</v>
      </c>
      <c r="D12" s="4">
        <v>6.0</v>
      </c>
      <c r="E12" s="4">
        <v>6.0</v>
      </c>
      <c r="F12" s="4">
        <v>6.0</v>
      </c>
      <c r="G12" s="4">
        <v>6.0</v>
      </c>
      <c r="H12" s="4">
        <v>6.0</v>
      </c>
      <c r="J12" s="4">
        <v>6.0</v>
      </c>
      <c r="K12" s="25">
        <v>6.0</v>
      </c>
      <c r="L12" s="25">
        <v>6.0</v>
      </c>
      <c r="M12" s="25">
        <v>6.0</v>
      </c>
      <c r="N12" s="26"/>
      <c r="O12" s="25">
        <v>6.0</v>
      </c>
      <c r="P12" s="25">
        <v>6.0</v>
      </c>
      <c r="Q12" s="25">
        <v>6.0</v>
      </c>
      <c r="R12" s="25">
        <v>6.0</v>
      </c>
      <c r="S12" s="25">
        <v>6.0</v>
      </c>
    </row>
    <row r="13" ht="22.5" customHeight="1">
      <c r="A13" s="3" t="s">
        <v>22</v>
      </c>
      <c r="B13" s="4" t="s">
        <v>108</v>
      </c>
      <c r="C13" s="24">
        <v>6.0</v>
      </c>
      <c r="D13" s="4">
        <v>6.0</v>
      </c>
      <c r="E13" s="4">
        <v>6.0</v>
      </c>
      <c r="F13" s="4">
        <v>6.0</v>
      </c>
      <c r="J13" s="4">
        <v>6.0</v>
      </c>
      <c r="K13" s="25">
        <v>6.0</v>
      </c>
      <c r="L13" s="26"/>
      <c r="M13" s="26"/>
      <c r="N13" s="26"/>
      <c r="O13" s="25">
        <v>6.0</v>
      </c>
      <c r="P13" s="26"/>
      <c r="Q13" s="26"/>
      <c r="R13" s="26"/>
      <c r="S13" s="26"/>
    </row>
    <row r="14" ht="22.5" customHeight="1">
      <c r="A14" s="3" t="s">
        <v>32</v>
      </c>
      <c r="B14" s="4" t="s">
        <v>110</v>
      </c>
      <c r="C14" s="24">
        <v>3.0</v>
      </c>
      <c r="D14" s="4">
        <v>3.0</v>
      </c>
      <c r="E14" s="4">
        <v>3.0</v>
      </c>
      <c r="F14" s="4">
        <v>3.0</v>
      </c>
      <c r="G14" s="4">
        <v>3.0</v>
      </c>
      <c r="H14" s="4">
        <v>3.0</v>
      </c>
      <c r="I14" s="4">
        <v>3.0</v>
      </c>
      <c r="J14" s="4">
        <v>3.0</v>
      </c>
      <c r="K14" s="25">
        <v>3.0</v>
      </c>
      <c r="L14" s="25">
        <v>3.0</v>
      </c>
      <c r="M14" s="25">
        <v>3.0</v>
      </c>
      <c r="N14" s="25">
        <v>3.0</v>
      </c>
      <c r="O14" s="25">
        <v>3.0</v>
      </c>
      <c r="P14" s="25">
        <v>3.0</v>
      </c>
      <c r="Q14" s="25">
        <v>3.0</v>
      </c>
      <c r="R14" s="26"/>
      <c r="S14" s="25">
        <v>3.0</v>
      </c>
    </row>
    <row r="15" ht="22.5" customHeight="1">
      <c r="A15" s="3" t="s">
        <v>32</v>
      </c>
      <c r="B15" s="4" t="s">
        <v>112</v>
      </c>
      <c r="C15" s="24">
        <v>6.0</v>
      </c>
      <c r="K15" s="26"/>
      <c r="L15" s="26"/>
      <c r="M15" s="26"/>
      <c r="N15" s="26"/>
      <c r="O15" s="26"/>
      <c r="P15" s="26"/>
      <c r="Q15" s="26"/>
      <c r="R15" s="26"/>
      <c r="S15" s="26"/>
    </row>
    <row r="16" ht="22.5" customHeight="1">
      <c r="A16" s="3" t="s">
        <v>32</v>
      </c>
      <c r="B16" s="4" t="s">
        <v>114</v>
      </c>
      <c r="C16" s="24">
        <v>6.0</v>
      </c>
      <c r="K16" s="26"/>
      <c r="L16" s="26"/>
      <c r="M16" s="26"/>
      <c r="N16" s="26"/>
      <c r="O16" s="26"/>
      <c r="P16" s="26"/>
      <c r="Q16" s="26"/>
      <c r="R16" s="26"/>
      <c r="S16" s="26"/>
    </row>
    <row r="17" ht="22.5" customHeight="1">
      <c r="A17" s="3" t="s">
        <v>39</v>
      </c>
      <c r="B17" s="4" t="s">
        <v>116</v>
      </c>
      <c r="C17" s="24">
        <v>6.0</v>
      </c>
      <c r="D17" s="4">
        <v>6.0</v>
      </c>
      <c r="E17" s="4">
        <v>6.0</v>
      </c>
      <c r="F17" s="4">
        <v>6.0</v>
      </c>
      <c r="G17" s="4">
        <v>6.0</v>
      </c>
      <c r="H17" s="4">
        <v>6.0</v>
      </c>
      <c r="I17" s="4">
        <v>6.0</v>
      </c>
      <c r="J17" s="4">
        <v>6.0</v>
      </c>
      <c r="K17" s="25">
        <v>6.0</v>
      </c>
      <c r="L17" s="25">
        <v>6.0</v>
      </c>
      <c r="M17" s="25">
        <v>6.0</v>
      </c>
      <c r="N17" s="25">
        <v>6.0</v>
      </c>
      <c r="O17" s="25">
        <v>6.0</v>
      </c>
      <c r="P17" s="25">
        <v>6.0</v>
      </c>
      <c r="Q17" s="25">
        <v>6.0</v>
      </c>
      <c r="R17" s="27"/>
      <c r="S17" s="25">
        <v>6.0</v>
      </c>
    </row>
    <row r="18" ht="22.5" customHeight="1">
      <c r="A18" s="3" t="s">
        <v>39</v>
      </c>
      <c r="B18" s="4" t="s">
        <v>118</v>
      </c>
      <c r="C18" s="24">
        <v>6.0</v>
      </c>
      <c r="D18" s="4">
        <v>6.0</v>
      </c>
      <c r="E18" s="4">
        <v>6.0</v>
      </c>
      <c r="H18" s="4">
        <v>6.0</v>
      </c>
      <c r="K18" s="25">
        <v>6.0</v>
      </c>
      <c r="L18" s="26"/>
      <c r="M18" s="25">
        <v>6.0</v>
      </c>
      <c r="N18" s="26"/>
      <c r="O18" s="25">
        <v>6.0</v>
      </c>
      <c r="P18" s="26"/>
      <c r="Q18" s="26"/>
      <c r="R18" s="26"/>
      <c r="S18" s="25">
        <v>6.0</v>
      </c>
    </row>
    <row r="19" ht="22.5" customHeight="1">
      <c r="A19" s="3" t="s">
        <v>39</v>
      </c>
      <c r="B19" s="4" t="s">
        <v>120</v>
      </c>
      <c r="C19" s="24">
        <v>3.0</v>
      </c>
      <c r="K19" s="26"/>
      <c r="L19" s="26"/>
      <c r="M19" s="26"/>
      <c r="N19" s="26"/>
      <c r="O19" s="26"/>
      <c r="P19" s="26"/>
      <c r="Q19" s="26"/>
      <c r="R19" s="26"/>
      <c r="S19" s="26"/>
    </row>
    <row r="20" ht="22.5" customHeight="1">
      <c r="A20" s="3" t="s">
        <v>47</v>
      </c>
      <c r="B20" s="4" t="s">
        <v>122</v>
      </c>
      <c r="C20" s="24">
        <v>6.0</v>
      </c>
      <c r="K20" s="26"/>
      <c r="L20" s="26"/>
      <c r="M20" s="26"/>
      <c r="N20" s="26"/>
      <c r="O20" s="26"/>
      <c r="P20" s="26"/>
      <c r="Q20" s="26"/>
      <c r="R20" s="26"/>
      <c r="S20" s="26"/>
    </row>
    <row r="21" ht="22.5" customHeight="1">
      <c r="A21" s="3" t="s">
        <v>47</v>
      </c>
      <c r="B21" s="4" t="s">
        <v>124</v>
      </c>
      <c r="C21" s="24">
        <v>3.0</v>
      </c>
      <c r="D21" s="4">
        <v>3.0</v>
      </c>
      <c r="E21" s="4">
        <v>3.0</v>
      </c>
      <c r="F21" s="4">
        <v>3.0</v>
      </c>
      <c r="G21" s="4">
        <v>3.0</v>
      </c>
      <c r="H21" s="4">
        <v>3.0</v>
      </c>
      <c r="I21" s="4">
        <v>3.0</v>
      </c>
      <c r="J21" s="4">
        <v>3.0</v>
      </c>
      <c r="K21" s="25">
        <v>3.0</v>
      </c>
      <c r="L21" s="25">
        <v>3.0</v>
      </c>
      <c r="M21" s="25">
        <v>3.0</v>
      </c>
      <c r="N21" s="25">
        <v>3.0</v>
      </c>
      <c r="O21" s="25">
        <v>3.0</v>
      </c>
      <c r="P21" s="25">
        <v>3.0</v>
      </c>
      <c r="Q21" s="25">
        <v>3.0</v>
      </c>
      <c r="R21" s="25">
        <v>3.0</v>
      </c>
      <c r="S21" s="25">
        <v>3.0</v>
      </c>
    </row>
    <row r="22" ht="22.5" customHeight="1">
      <c r="A22" s="3" t="s">
        <v>47</v>
      </c>
      <c r="B22" s="4" t="s">
        <v>126</v>
      </c>
      <c r="C22" s="24">
        <v>6.0</v>
      </c>
      <c r="K22" s="26"/>
      <c r="L22" s="26"/>
      <c r="M22" s="26"/>
      <c r="N22" s="26"/>
      <c r="O22" s="26"/>
      <c r="P22" s="26"/>
      <c r="Q22" s="26"/>
      <c r="R22" s="26"/>
      <c r="S22" s="26"/>
    </row>
    <row r="23" ht="22.5" customHeight="1">
      <c r="A23" s="3" t="s">
        <v>8</v>
      </c>
      <c r="B23" s="4" t="s">
        <v>127</v>
      </c>
      <c r="C23" s="24">
        <v>15.0</v>
      </c>
      <c r="K23" s="26"/>
      <c r="L23" s="26"/>
      <c r="M23" s="26"/>
      <c r="N23" s="26"/>
      <c r="O23" s="26"/>
      <c r="P23" s="26"/>
      <c r="Q23" s="26"/>
      <c r="R23" s="26"/>
      <c r="S23" s="26"/>
    </row>
    <row r="24" ht="22.5" customHeight="1">
      <c r="A24" s="3" t="s">
        <v>22</v>
      </c>
      <c r="B24" s="4" t="s">
        <v>129</v>
      </c>
      <c r="C24" s="24">
        <v>15.0</v>
      </c>
      <c r="K24" s="26"/>
      <c r="L24" s="26"/>
      <c r="M24" s="26"/>
      <c r="N24" s="26"/>
      <c r="O24" s="26"/>
      <c r="P24" s="26"/>
      <c r="Q24" s="26"/>
      <c r="R24" s="26"/>
      <c r="S24" s="26"/>
    </row>
  </sheetData>
  <dataValidations>
    <dataValidation type="list" allowBlank="1" showErrorMessage="1" sqref="A3:A24">
      <formula1>"Game Mastery,Teamwork,Personal Development,Esports Citizen,Digital skills"</formula1>
    </dataValidation>
    <dataValidation type="custom" allowBlank="1" showDropDown="1" sqref="C3:C24">
      <formula1>AND(ISNUMBER(C3),(NOT(OR(NOT(ISERROR(DATEVALUE(C3))), AND(ISNUMBER(C3), LEFT(CELL("format", C3))="D")))))</formula1>
    </dataValidation>
  </dataValidations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 ht="22.5" customHeight="1">
      <c r="A2" s="23" t="s">
        <v>95</v>
      </c>
      <c r="B2" s="23" t="s">
        <v>75</v>
      </c>
      <c r="C2" s="23" t="s">
        <v>76</v>
      </c>
      <c r="D2" s="23" t="s">
        <v>77</v>
      </c>
      <c r="E2" s="23" t="s">
        <v>78</v>
      </c>
      <c r="F2" s="23" t="s">
        <v>79</v>
      </c>
      <c r="G2" s="23" t="s">
        <v>80</v>
      </c>
      <c r="H2" s="23" t="s">
        <v>81</v>
      </c>
      <c r="I2" s="23" t="s">
        <v>82</v>
      </c>
      <c r="J2" s="23" t="s">
        <v>83</v>
      </c>
      <c r="K2" s="23" t="s">
        <v>84</v>
      </c>
      <c r="L2" s="23" t="s">
        <v>85</v>
      </c>
      <c r="M2" s="23" t="s">
        <v>86</v>
      </c>
      <c r="N2" s="23" t="s">
        <v>87</v>
      </c>
      <c r="O2" s="23" t="s">
        <v>88</v>
      </c>
      <c r="P2" s="23" t="s">
        <v>89</v>
      </c>
      <c r="Q2" s="23" t="s">
        <v>90</v>
      </c>
    </row>
    <row r="3" ht="22.5" customHeight="1">
      <c r="A3" s="25" t="s">
        <v>96</v>
      </c>
      <c r="B3" s="26">
        <f>'DtED MCModule 1 - Points Tracke'!D3+'DtED MCModule 1 - Points Tracke'!D8+'DtED MCModule 1 - Points Tracke'!D9+'DtED MCModule 1 - Points Tracke'!D10+'DtED MCModule 1 - Points Tracke'!D23</f>
        <v>29</v>
      </c>
      <c r="C3" s="26">
        <f>'DtED MCModule 1 - Points Tracke'!E3+'DtED MCModule 1 - Points Tracke'!E8+'DtED MCModule 1 - Points Tracke'!E9+'DtED MCModule 1 - Points Tracke'!E10+'DtED MCModule 1 - Points Tracke'!E23</f>
        <v>22</v>
      </c>
      <c r="D3" s="26">
        <f>'DtED MCModule 1 - Points Tracke'!F3+'DtED MCModule 1 - Points Tracke'!F8+'DtED MCModule 1 - Points Tracke'!F9+'DtED MCModule 1 - Points Tracke'!F10+'DtED MCModule 1 - Points Tracke'!F23</f>
        <v>51</v>
      </c>
      <c r="E3" s="26">
        <f>'DtED MCModule 1 - Points Tracke'!G3+'DtED MCModule 1 - Points Tracke'!G8+'DtED MCModule 1 - Points Tracke'!G9+'DtED MCModule 1 - Points Tracke'!G10+'DtED MCModule 1 - Points Tracke'!G23</f>
        <v>57</v>
      </c>
      <c r="F3" s="26">
        <f>'DtED MCModule 1 - Points Tracke'!H3+'DtED MCModule 1 - Points Tracke'!H8+'DtED MCModule 1 - Points Tracke'!H9+'DtED MCModule 1 - Points Tracke'!H10+'DtED MCModule 1 - Points Tracke'!H23</f>
        <v>57</v>
      </c>
      <c r="G3" s="26">
        <f>'DtED MCModule 1 - Points Tracke'!I3+'DtED MCModule 1 - Points Tracke'!I8+'DtED MCModule 1 - Points Tracke'!I9+'DtED MCModule 1 - Points Tracke'!I10+'DtED MCModule 1 - Points Tracke'!I23</f>
        <v>42</v>
      </c>
      <c r="H3" s="26">
        <f>'DtED MCModule 1 - Points Tracke'!J3+'DtED MCModule 1 - Points Tracke'!J8+'DtED MCModule 1 - Points Tracke'!J9+'DtED MCModule 1 - Points Tracke'!J10+'DtED MCModule 1 - Points Tracke'!J23</f>
        <v>41</v>
      </c>
      <c r="I3" s="26">
        <f>'DtED MCModule 1 - Points Tracke'!K3+'DtED MCModule 1 - Points Tracke'!K8+'DtED MCModule 1 - Points Tracke'!K9+'DtED MCModule 1 - Points Tracke'!K10+'DtED MCModule 1 - Points Tracke'!K23</f>
        <v>21</v>
      </c>
      <c r="J3" s="26">
        <f>'DtED MCModule 1 - Points Tracke'!L3+'DtED MCModule 1 - Points Tracke'!L8+'DtED MCModule 1 - Points Tracke'!L9+'DtED MCModule 1 - Points Tracke'!L10+'DtED MCModule 1 - Points Tracke'!L23</f>
        <v>19</v>
      </c>
      <c r="K3" s="26">
        <f>'DtED MCModule 1 - Points Tracke'!M3+'DtED MCModule 1 - Points Tracke'!M8+'DtED MCModule 1 - Points Tracke'!M9+'DtED MCModule 1 - Points Tracke'!M10+'DtED MCModule 1 - Points Tracke'!M23</f>
        <v>53</v>
      </c>
      <c r="L3" s="26">
        <f>'DtED MCModule 1 - Points Tracke'!N3+'DtED MCModule 1 - Points Tracke'!N8+'DtED MCModule 1 - Points Tracke'!N9+'DtED MCModule 1 - Points Tracke'!N10+'DtED MCModule 1 - Points Tracke'!N23</f>
        <v>42</v>
      </c>
      <c r="M3" s="26">
        <f>'DtED MCModule 1 - Points Tracke'!O3+'DtED MCModule 1 - Points Tracke'!O8+'DtED MCModule 1 - Points Tracke'!O9+'DtED MCModule 1 - Points Tracke'!O10+'DtED MCModule 1 - Points Tracke'!O23</f>
        <v>31</v>
      </c>
      <c r="N3" s="26">
        <f>'DtED MCModule 1 - Points Tracke'!P3+'DtED MCModule 1 - Points Tracke'!P8+'DtED MCModule 1 - Points Tracke'!P9+'DtED MCModule 1 - Points Tracke'!P10+'DtED MCModule 1 - Points Tracke'!P23</f>
        <v>57</v>
      </c>
      <c r="O3" s="26">
        <f>'DtED MCModule 1 - Points Tracke'!Q3+'DtED MCModule 1 - Points Tracke'!Q8+'DtED MCModule 1 - Points Tracke'!Q9+'DtED MCModule 1 - Points Tracke'!Q10+'DtED MCModule 1 - Points Tracke'!Q23</f>
        <v>9</v>
      </c>
      <c r="P3" s="26">
        <f>'DtED MCModule 1 - Points Tracke'!R3+'DtED MCModule 1 - Points Tracke'!R8+'DtED MCModule 1 - Points Tracke'!R9+'DtED MCModule 1 - Points Tracke'!R10+'DtED MCModule 1 - Points Tracke'!R23</f>
        <v>21</v>
      </c>
      <c r="Q3" s="26">
        <f>'DtED MCModule 1 - Points Tracke'!S3+'DtED MCModule 1 - Points Tracke'!S8+'DtED MCModule 1 - Points Tracke'!S9+'DtED MCModule 1 - Points Tracke'!S10+'DtED MCModule 1 - Points Tracke'!S23</f>
        <v>38</v>
      </c>
    </row>
    <row r="4" ht="22.5" customHeight="1">
      <c r="A4" s="25" t="s">
        <v>97</v>
      </c>
      <c r="B4" s="26">
        <f>'DtED MCModule 1 - Points Tracke'!D4+'DtED MCModule 1 - Points Tracke'!D11+'DtED MCModule 1 - Points Tracke'!D12+'DtED MCModule 1 - Points Tracke'!D13+'DtED MCModule 1 - Points Tracke'!D24</f>
        <v>30</v>
      </c>
      <c r="C4" s="26">
        <f>'DtED MCModule 1 - Points Tracke'!E4+'DtED MCModule 1 - Points Tracke'!E11+'DtED MCModule 1 - Points Tracke'!E12+'DtED MCModule 1 - Points Tracke'!E13+'DtED MCModule 1 - Points Tracke'!E24</f>
        <v>57</v>
      </c>
      <c r="D4" s="26">
        <f>'DtED MCModule 1 - Points Tracke'!F4+'DtED MCModule 1 - Points Tracke'!F11+'DtED MCModule 1 - Points Tracke'!F12+'DtED MCModule 1 - Points Tracke'!F13+'DtED MCModule 1 - Points Tracke'!F24</f>
        <v>50</v>
      </c>
      <c r="E4" s="26">
        <f>'DtED MCModule 1 - Points Tracke'!G4+'DtED MCModule 1 - Points Tracke'!G11+'DtED MCModule 1 - Points Tracke'!G12+'DtED MCModule 1 - Points Tracke'!G13+'DtED MCModule 1 - Points Tracke'!G24</f>
        <v>46</v>
      </c>
      <c r="F4" s="26">
        <f>'DtED MCModule 1 - Points Tracke'!H4+'DtED MCModule 1 - Points Tracke'!H11+'DtED MCModule 1 - Points Tracke'!H12+'DtED MCModule 1 - Points Tracke'!H13+'DtED MCModule 1 - Points Tracke'!H24</f>
        <v>46</v>
      </c>
      <c r="G4" s="26">
        <f>'DtED MCModule 1 - Points Tracke'!I4+'DtED MCModule 1 - Points Tracke'!I11+'DtED MCModule 1 - Points Tracke'!I12+'DtED MCModule 1 - Points Tracke'!I13+'DtED MCModule 1 - Points Tracke'!I24</f>
        <v>27</v>
      </c>
      <c r="H4" s="26">
        <f>'DtED MCModule 1 - Points Tracke'!J4+'DtED MCModule 1 - Points Tracke'!J11+'DtED MCModule 1 - Points Tracke'!J12+'DtED MCModule 1 - Points Tracke'!J13+'DtED MCModule 1 - Points Tracke'!J24</f>
        <v>50</v>
      </c>
      <c r="I4" s="26">
        <f>'DtED MCModule 1 - Points Tracke'!K4+'DtED MCModule 1 - Points Tracke'!K11+'DtED MCModule 1 - Points Tracke'!K12+'DtED MCModule 1 - Points Tracke'!K13+'DtED MCModule 1 - Points Tracke'!K24</f>
        <v>21</v>
      </c>
      <c r="J4" s="26">
        <f>'DtED MCModule 1 - Points Tracke'!L4+'DtED MCModule 1 - Points Tracke'!L11+'DtED MCModule 1 - Points Tracke'!L12+'DtED MCModule 1 - Points Tracke'!L13+'DtED MCModule 1 - Points Tracke'!L24</f>
        <v>18</v>
      </c>
      <c r="K4" s="26">
        <f>'DtED MCModule 1 - Points Tracke'!M4+'DtED MCModule 1 - Points Tracke'!M11+'DtED MCModule 1 - Points Tracke'!M12+'DtED MCModule 1 - Points Tracke'!M13+'DtED MCModule 1 - Points Tracke'!M24</f>
        <v>46</v>
      </c>
      <c r="L4" s="26">
        <f>'DtED MCModule 1 - Points Tracke'!N4+'DtED MCModule 1 - Points Tracke'!N11+'DtED MCModule 1 - Points Tracke'!N12+'DtED MCModule 1 - Points Tracke'!N13+'DtED MCModule 1 - Points Tracke'!N24</f>
        <v>40</v>
      </c>
      <c r="M4" s="26">
        <f>'DtED MCModule 1 - Points Tracke'!O4+'DtED MCModule 1 - Points Tracke'!O11+'DtED MCModule 1 - Points Tracke'!O12+'DtED MCModule 1 - Points Tracke'!O13+'DtED MCModule 1 - Points Tracke'!O24</f>
        <v>30</v>
      </c>
      <c r="N4" s="26">
        <f>'DtED MCModule 1 - Points Tracke'!P4+'DtED MCModule 1 - Points Tracke'!P11+'DtED MCModule 1 - Points Tracke'!P12+'DtED MCModule 1 - Points Tracke'!P13+'DtED MCModule 1 - Points Tracke'!P24</f>
        <v>46</v>
      </c>
      <c r="O4" s="26">
        <f>'DtED MCModule 1 - Points Tracke'!Q4+'DtED MCModule 1 - Points Tracke'!Q11+'DtED MCModule 1 - Points Tracke'!Q12+'DtED MCModule 1 - Points Tracke'!Q13+'DtED MCModule 1 - Points Tracke'!Q24</f>
        <v>6</v>
      </c>
      <c r="P4" s="26">
        <f>'DtED MCModule 1 - Points Tracke'!R4+'DtED MCModule 1 - Points Tracke'!R11+'DtED MCModule 1 - Points Tracke'!R12+'DtED MCModule 1 - Points Tracke'!R13+'DtED MCModule 1 - Points Tracke'!R24</f>
        <v>15</v>
      </c>
      <c r="Q4" s="26">
        <f>'DtED MCModule 1 - Points Tracke'!S4+'DtED MCModule 1 - Points Tracke'!S11+'DtED MCModule 1 - Points Tracke'!S12+'DtED MCModule 1 - Points Tracke'!S13+'DtED MCModule 1 - Points Tracke'!S24</f>
        <v>46</v>
      </c>
    </row>
    <row r="5" ht="22.5" customHeight="1">
      <c r="A5" s="25" t="s">
        <v>32</v>
      </c>
      <c r="B5" s="26">
        <f>'DtED MCModule 1 - Points Tracke'!D5+'DtED MCModule 1 - Points Tracke'!D14+'DtED MCModule 1 - Points Tracke'!D15+'DtED MCModule 1 - Points Tracke'!D16</f>
        <v>15</v>
      </c>
      <c r="C5" s="26">
        <f>'DtED MCModule 1 - Points Tracke'!E5+'DtED MCModule 1 - Points Tracke'!E14+'DtED MCModule 1 - Points Tracke'!E15+'DtED MCModule 1 - Points Tracke'!E16</f>
        <v>25</v>
      </c>
      <c r="D5" s="26">
        <f>'DtED MCModule 1 - Points Tracke'!F5+'DtED MCModule 1 - Points Tracke'!F14+'DtED MCModule 1 - Points Tracke'!F15+'DtED MCModule 1 - Points Tracke'!F16</f>
        <v>25</v>
      </c>
      <c r="E5" s="26">
        <f>'DtED MCModule 1 - Points Tracke'!G5+'DtED MCModule 1 - Points Tracke'!G14+'DtED MCModule 1 - Points Tracke'!G15+'DtED MCModule 1 - Points Tracke'!G16</f>
        <v>25</v>
      </c>
      <c r="F5" s="26">
        <f>'DtED MCModule 1 - Points Tracke'!H5+'DtED MCModule 1 - Points Tracke'!H14+'DtED MCModule 1 - Points Tracke'!H15+'DtED MCModule 1 - Points Tracke'!H16</f>
        <v>25</v>
      </c>
      <c r="G5" s="26">
        <f>'DtED MCModule 1 - Points Tracke'!I5+'DtED MCModule 1 - Points Tracke'!I14+'DtED MCModule 1 - Points Tracke'!I15+'DtED MCModule 1 - Points Tracke'!I16</f>
        <v>23</v>
      </c>
      <c r="H5" s="26">
        <f>'DtED MCModule 1 - Points Tracke'!J5+'DtED MCModule 1 - Points Tracke'!J14+'DtED MCModule 1 - Points Tracke'!J15+'DtED MCModule 1 - Points Tracke'!J16</f>
        <v>15</v>
      </c>
      <c r="I5" s="26">
        <f>'DtED MCModule 1 - Points Tracke'!K5+'DtED MCModule 1 - Points Tracke'!K14+'DtED MCModule 1 - Points Tracke'!K15+'DtED MCModule 1 - Points Tracke'!K16</f>
        <v>15</v>
      </c>
      <c r="J5" s="26">
        <f>'DtED MCModule 1 - Points Tracke'!L5+'DtED MCModule 1 - Points Tracke'!L14+'DtED MCModule 1 - Points Tracke'!L15+'DtED MCModule 1 - Points Tracke'!L16</f>
        <v>15</v>
      </c>
      <c r="K5" s="26">
        <f>'DtED MCModule 1 - Points Tracke'!M5+'DtED MCModule 1 - Points Tracke'!M14+'DtED MCModule 1 - Points Tracke'!M15+'DtED MCModule 1 - Points Tracke'!M16</f>
        <v>25</v>
      </c>
      <c r="L5" s="26">
        <f>'DtED MCModule 1 - Points Tracke'!N5+'DtED MCModule 1 - Points Tracke'!N14+'DtED MCModule 1 - Points Tracke'!N15+'DtED MCModule 1 - Points Tracke'!N16</f>
        <v>15</v>
      </c>
      <c r="M5" s="26">
        <f>'DtED MCModule 1 - Points Tracke'!O5+'DtED MCModule 1 - Points Tracke'!O14+'DtED MCModule 1 - Points Tracke'!O15+'DtED MCModule 1 - Points Tracke'!O16</f>
        <v>15</v>
      </c>
      <c r="N5" s="26">
        <f>'DtED MCModule 1 - Points Tracke'!P5+'DtED MCModule 1 - Points Tracke'!P14+'DtED MCModule 1 - Points Tracke'!P15+'DtED MCModule 1 - Points Tracke'!P16</f>
        <v>15</v>
      </c>
      <c r="O5" s="26">
        <f>'DtED MCModule 1 - Points Tracke'!Q5+'DtED MCModule 1 - Points Tracke'!Q14+'DtED MCModule 1 - Points Tracke'!Q15+'DtED MCModule 1 - Points Tracke'!Q16</f>
        <v>3</v>
      </c>
      <c r="P5" s="26">
        <f>'DtED MCModule 1 - Points Tracke'!R5+'DtED MCModule 1 - Points Tracke'!R14+'DtED MCModule 1 - Points Tracke'!R15+'DtED MCModule 1 - Points Tracke'!R16</f>
        <v>12</v>
      </c>
      <c r="Q5" s="26">
        <f>'DtED MCModule 1 - Points Tracke'!S5+'DtED MCModule 1 - Points Tracke'!S14+'DtED MCModule 1 - Points Tracke'!S15+'DtED MCModule 1 - Points Tracke'!S16</f>
        <v>23</v>
      </c>
    </row>
    <row r="6" ht="22.5" customHeight="1">
      <c r="A6" s="25" t="s">
        <v>39</v>
      </c>
      <c r="B6" s="26">
        <f>'DtED MCModule 1 - Points Tracke'!D6+'DtED MCModule 1 - Points Tracke'!D17+'DtED MCModule 1 - Points Tracke'!D18+'DtED MCModule 1 - Points Tracke'!D19</f>
        <v>33</v>
      </c>
      <c r="C6" s="26">
        <f>'DtED MCModule 1 - Points Tracke'!E6+'DtED MCModule 1 - Points Tracke'!E17+'DtED MCModule 1 - Points Tracke'!E18+'DtED MCModule 1 - Points Tracke'!E19</f>
        <v>50</v>
      </c>
      <c r="D6" s="26">
        <f>'DtED MCModule 1 - Points Tracke'!F6+'DtED MCModule 1 - Points Tracke'!F17+'DtED MCModule 1 - Points Tracke'!F18+'DtED MCModule 1 - Points Tracke'!F19</f>
        <v>27</v>
      </c>
      <c r="E6" s="26">
        <f>'DtED MCModule 1 - Points Tracke'!G6+'DtED MCModule 1 - Points Tracke'!G17+'DtED MCModule 1 - Points Tracke'!G18+'DtED MCModule 1 - Points Tracke'!G19</f>
        <v>6</v>
      </c>
      <c r="F6" s="26">
        <f>'DtED MCModule 1 - Points Tracke'!H6+'DtED MCModule 1 - Points Tracke'!H17+'DtED MCModule 1 - Points Tracke'!H18+'DtED MCModule 1 - Points Tracke'!H19</f>
        <v>48</v>
      </c>
      <c r="G6" s="26">
        <f>'DtED MCModule 1 - Points Tracke'!I6+'DtED MCModule 1 - Points Tracke'!I17+'DtED MCModule 1 - Points Tracke'!I18+'DtED MCModule 1 - Points Tracke'!I19</f>
        <v>44</v>
      </c>
      <c r="H6" s="26">
        <f>'DtED MCModule 1 - Points Tracke'!J6+'DtED MCModule 1 - Points Tracke'!J17+'DtED MCModule 1 - Points Tracke'!J18+'DtED MCModule 1 - Points Tracke'!J19</f>
        <v>23</v>
      </c>
      <c r="I6" s="26">
        <f>'DtED MCModule 1 - Points Tracke'!K6+'DtED MCModule 1 - Points Tracke'!K17+'DtED MCModule 1 - Points Tracke'!K18+'DtED MCModule 1 - Points Tracke'!K19</f>
        <v>33</v>
      </c>
      <c r="J6" s="26">
        <f>'DtED MCModule 1 - Points Tracke'!L6+'DtED MCModule 1 - Points Tracke'!L17+'DtED MCModule 1 - Points Tracke'!L18+'DtED MCModule 1 - Points Tracke'!L19</f>
        <v>6</v>
      </c>
      <c r="K6" s="26">
        <f>'DtED MCModule 1 - Points Tracke'!M6+'DtED MCModule 1 - Points Tracke'!M17+'DtED MCModule 1 - Points Tracke'!M18+'DtED MCModule 1 - Points Tracke'!M19</f>
        <v>50</v>
      </c>
      <c r="L6" s="26">
        <f>'DtED MCModule 1 - Points Tracke'!N6+'DtED MCModule 1 - Points Tracke'!N17+'DtED MCModule 1 - Points Tracke'!N18+'DtED MCModule 1 - Points Tracke'!N19</f>
        <v>27</v>
      </c>
      <c r="M6" s="26">
        <f>'DtED MCModule 1 - Points Tracke'!O6+'DtED MCModule 1 - Points Tracke'!O17+'DtED MCModule 1 - Points Tracke'!O18+'DtED MCModule 1 - Points Tracke'!O19</f>
        <v>33</v>
      </c>
      <c r="N6" s="26">
        <f>'DtED MCModule 1 - Points Tracke'!P6+'DtED MCModule 1 - Points Tracke'!P17+'DtED MCModule 1 - Points Tracke'!P18+'DtED MCModule 1 - Points Tracke'!P19</f>
        <v>27</v>
      </c>
      <c r="O6" s="26">
        <f>'DtED MCModule 1 - Points Tracke'!Q6+'DtED MCModule 1 - Points Tracke'!Q17+'DtED MCModule 1 - Points Tracke'!Q18+'DtED MCModule 1 - Points Tracke'!Q19</f>
        <v>6</v>
      </c>
      <c r="P6" s="26">
        <f>'DtED MCModule 1 - Points Tracke'!R6+'DtED MCModule 1 - Points Tracke'!R17+'DtED MCModule 1 - Points Tracke'!R18+'DtED MCModule 1 - Points Tracke'!R19</f>
        <v>21</v>
      </c>
      <c r="Q6" s="26">
        <f>'DtED MCModule 1 - Points Tracke'!S6+'DtED MCModule 1 - Points Tracke'!S17+'DtED MCModule 1 - Points Tracke'!S18+'DtED MCModule 1 - Points Tracke'!S19</f>
        <v>33</v>
      </c>
    </row>
    <row r="7" ht="22.5" customHeight="1">
      <c r="A7" s="25" t="s">
        <v>98</v>
      </c>
      <c r="B7" s="26">
        <f>'DtED MCModule 1 - Points Tracke'!D7+'DtED MCModule 1 - Points Tracke'!D20+'DtED MCModule 1 - Points Tracke'!D21+'DtED MCModule 1 - Points Tracke'!D22</f>
        <v>28</v>
      </c>
      <c r="C7" s="26">
        <f>'DtED MCModule 1 - Points Tracke'!E7+'DtED MCModule 1 - Points Tracke'!E20+'DtED MCModule 1 - Points Tracke'!E21+'DtED MCModule 1 - Points Tracke'!E22</f>
        <v>23</v>
      </c>
      <c r="D7" s="26">
        <f>'DtED MCModule 1 - Points Tracke'!F7+'DtED MCModule 1 - Points Tracke'!F20+'DtED MCModule 1 - Points Tracke'!F21+'DtED MCModule 1 - Points Tracke'!F22</f>
        <v>35</v>
      </c>
      <c r="E7" s="26">
        <f>'DtED MCModule 1 - Points Tracke'!G7+'DtED MCModule 1 - Points Tracke'!G20+'DtED MCModule 1 - Points Tracke'!G21+'DtED MCModule 1 - Points Tracke'!G22</f>
        <v>23</v>
      </c>
      <c r="F7" s="26">
        <f>'DtED MCModule 1 - Points Tracke'!H7+'DtED MCModule 1 - Points Tracke'!H20+'DtED MCModule 1 - Points Tracke'!H21+'DtED MCModule 1 - Points Tracke'!H22</f>
        <v>35</v>
      </c>
      <c r="G7" s="26">
        <f>'DtED MCModule 1 - Points Tracke'!I7+'DtED MCModule 1 - Points Tracke'!I20+'DtED MCModule 1 - Points Tracke'!I21+'DtED MCModule 1 - Points Tracke'!I22</f>
        <v>35</v>
      </c>
      <c r="H7" s="26">
        <f>'DtED MCModule 1 - Points Tracke'!J7+'DtED MCModule 1 - Points Tracke'!J20+'DtED MCModule 1 - Points Tracke'!J21+'DtED MCModule 1 - Points Tracke'!J22</f>
        <v>28</v>
      </c>
      <c r="I7" s="26">
        <f>'DtED MCModule 1 - Points Tracke'!K7+'DtED MCModule 1 - Points Tracke'!K20+'DtED MCModule 1 - Points Tracke'!K21+'DtED MCModule 1 - Points Tracke'!K22</f>
        <v>28</v>
      </c>
      <c r="J7" s="26">
        <f>'DtED MCModule 1 - Points Tracke'!L7+'DtED MCModule 1 - Points Tracke'!L20+'DtED MCModule 1 - Points Tracke'!L21+'DtED MCModule 1 - Points Tracke'!L22</f>
        <v>9</v>
      </c>
      <c r="K7" s="26">
        <f>'DtED MCModule 1 - Points Tracke'!M7+'DtED MCModule 1 - Points Tracke'!M20+'DtED MCModule 1 - Points Tracke'!M21+'DtED MCModule 1 - Points Tracke'!M22</f>
        <v>28</v>
      </c>
      <c r="L7" s="26">
        <f>'DtED MCModule 1 - Points Tracke'!N7+'DtED MCModule 1 - Points Tracke'!N20+'DtED MCModule 1 - Points Tracke'!N21+'DtED MCModule 1 - Points Tracke'!N22</f>
        <v>35</v>
      </c>
      <c r="M7" s="26">
        <f>'DtED MCModule 1 - Points Tracke'!O7+'DtED MCModule 1 - Points Tracke'!O20+'DtED MCModule 1 - Points Tracke'!O21+'DtED MCModule 1 - Points Tracke'!O22</f>
        <v>35</v>
      </c>
      <c r="N7" s="26">
        <f>'DtED MCModule 1 - Points Tracke'!P7+'DtED MCModule 1 - Points Tracke'!P20+'DtED MCModule 1 - Points Tracke'!P21+'DtED MCModule 1 - Points Tracke'!P22</f>
        <v>28</v>
      </c>
      <c r="O7" s="26">
        <f>'DtED MCModule 1 - Points Tracke'!Q7+'DtED MCModule 1 - Points Tracke'!Q20+'DtED MCModule 1 - Points Tracke'!Q21+'DtED MCModule 1 - Points Tracke'!Q22</f>
        <v>3</v>
      </c>
      <c r="P7" s="26">
        <f>'DtED MCModule 1 - Points Tracke'!R7+'DtED MCModule 1 - Points Tracke'!R20+'DtED MCModule 1 - Points Tracke'!R21+'DtED MCModule 1 - Points Tracke'!R22</f>
        <v>28</v>
      </c>
      <c r="Q7" s="26">
        <f>'DtED MCModule 1 - Points Tracke'!S7+'DtED MCModule 1 - Points Tracke'!S20+'DtED MCModule 1 - Points Tracke'!S21+'DtED MCModule 1 - Points Tracke'!S22</f>
        <v>28</v>
      </c>
    </row>
  </sheetData>
  <conditionalFormatting sqref="B3:Q7">
    <cfRule type="cellIs" dxfId="5" priority="1" operator="between">
      <formula>0</formula>
      <formula>30</formula>
    </cfRule>
  </conditionalFormatting>
  <conditionalFormatting sqref="B3:Q7">
    <cfRule type="cellIs" dxfId="6" priority="2" operator="between">
      <formula>31</formula>
      <formula>70</formula>
    </cfRule>
  </conditionalFormatting>
  <conditionalFormatting sqref="B3:Q7">
    <cfRule type="cellIs" dxfId="8" priority="3" operator="between">
      <formula>71</formula>
      <formula>120</formula>
    </cfRule>
  </conditionalFormatting>
  <drawing r:id="rId1"/>
  <tableParts count="1">
    <tablePart r:id="rId3"/>
  </tableParts>
</worksheet>
</file>