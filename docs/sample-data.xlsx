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lloydsbanking.sharepoint.com/sites/CBBTOriginationSRE/Shared Documents/Hackathon/reliabilityrebelswishaw/"/>
    </mc:Choice>
  </mc:AlternateContent>
  <xr:revisionPtr revIDLastSave="184" documentId="8_{324E0A84-44F1-A84C-AA78-E5B5D5219759}" xr6:coauthVersionLast="47" xr6:coauthVersionMax="47" xr10:uidLastSave="{153617AA-A875-401F-A242-61EED1B46F09}"/>
  <bookViews>
    <workbookView xWindow="0" yWindow="780" windowWidth="34860" windowHeight="22600" xr2:uid="{00000000-000D-0000-FFFF-FFFF00000000}"/>
  </bookViews>
  <sheets>
    <sheet name="SUMMARY" sheetId="8" r:id="rId1"/>
    <sheet name="Sheet2" sheetId="9" r:id="rId2"/>
    <sheet name="Road to Diamond- Module1" sheetId="1" r:id="rId3"/>
    <sheet name="RTD Module1 - Schedule" sheetId="2" r:id="rId4"/>
    <sheet name="RTD Module 1 - Points Tracker" sheetId="3" r:id="rId5"/>
    <sheet name="Rocket League Player Points" sheetId="4" r:id="rId6"/>
    <sheet name="Defeat The Ednder Dragon - MCMo" sheetId="5" r:id="rId7"/>
    <sheet name="DtED MCModule 1 - Points Tracke" sheetId="6" r:id="rId8"/>
    <sheet name="Minecraft Player Points" sheetId="7" r:id="rId9"/>
  </sheets>
  <calcPr calcId="191028"/>
  <pivotCaches>
    <pivotCache cacheId="1163" r:id="rId10"/>
    <pivotCache cacheId="1164" r:id="rId11"/>
    <pivotCache cacheId="116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7" l="1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B24" i="3"/>
</calcChain>
</file>

<file path=xl/sharedStrings.xml><?xml version="1.0" encoding="utf-8"?>
<sst xmlns="http://schemas.openxmlformats.org/spreadsheetml/2006/main" count="827" uniqueCount="194">
  <si>
    <t>RTD</t>
  </si>
  <si>
    <t>Defeat</t>
  </si>
  <si>
    <t>Row Labels</t>
  </si>
  <si>
    <t>Sum of Points</t>
  </si>
  <si>
    <t>Digital skills</t>
  </si>
  <si>
    <t>Communication</t>
  </si>
  <si>
    <t>Confidence</t>
  </si>
  <si>
    <t>Data Logger</t>
  </si>
  <si>
    <t>Creativity</t>
  </si>
  <si>
    <t>Decision Making</t>
  </si>
  <si>
    <t>Document Designer</t>
  </si>
  <si>
    <t>Memory Maker</t>
  </si>
  <si>
    <t>Digital Literacy</t>
  </si>
  <si>
    <t>Research Ranger</t>
  </si>
  <si>
    <t>Prep Master</t>
  </si>
  <si>
    <t>Leadership</t>
  </si>
  <si>
    <t>Storyteller</t>
  </si>
  <si>
    <t>Planning &amp; Organising</t>
  </si>
  <si>
    <t>Esports Citizen</t>
  </si>
  <si>
    <t>Problem Solving</t>
  </si>
  <si>
    <t>Code Keeper</t>
  </si>
  <si>
    <t>Resilience</t>
  </si>
  <si>
    <t>Self-Management</t>
  </si>
  <si>
    <t>Supportive Teammate</t>
  </si>
  <si>
    <t>Conduct Creator</t>
  </si>
  <si>
    <t>Working with Others</t>
  </si>
  <si>
    <t>Top Citizen</t>
  </si>
  <si>
    <t>Positve Voice</t>
  </si>
  <si>
    <t>Grand Total</t>
  </si>
  <si>
    <t>World Code</t>
  </si>
  <si>
    <t>Game Mastery</t>
  </si>
  <si>
    <t>Basic Mechanics</t>
  </si>
  <si>
    <t>Base Builder</t>
  </si>
  <si>
    <t>End Of The Road</t>
  </si>
  <si>
    <t>Dragon Prepared</t>
  </si>
  <si>
    <t>Master Plan</t>
  </si>
  <si>
    <t>Dragon Slayer</t>
  </si>
  <si>
    <t>Skill Evaluation</t>
  </si>
  <si>
    <t>Nether Ready</t>
  </si>
  <si>
    <t>Personal Development</t>
  </si>
  <si>
    <t>Goal Scorer</t>
  </si>
  <si>
    <t>Goal Setter</t>
  </si>
  <si>
    <t>Learn In Action</t>
  </si>
  <si>
    <t>Reflection</t>
  </si>
  <si>
    <t>Player Performance</t>
  </si>
  <si>
    <t>Resilient</t>
  </si>
  <si>
    <t>Teamwork</t>
  </si>
  <si>
    <t>Duo Snatcher</t>
  </si>
  <si>
    <t>Completed It First</t>
  </si>
  <si>
    <t>Role Model</t>
  </si>
  <si>
    <t>Mission Teamate</t>
  </si>
  <si>
    <t>Tactical Minds</t>
  </si>
  <si>
    <t>Role Player</t>
  </si>
  <si>
    <t>Team Planner</t>
  </si>
  <si>
    <t>3 per module</t>
  </si>
  <si>
    <t>terms</t>
  </si>
  <si>
    <t>Module</t>
  </si>
  <si>
    <t>league</t>
  </si>
  <si>
    <t>Skill 1</t>
  </si>
  <si>
    <t>The 5 main badge categories (Game Mastery, Teamwork, Esports Citizen, Personal Development, Digital Skills) are constant across all activities and modules.</t>
  </si>
  <si>
    <t>module</t>
  </si>
  <si>
    <t>Road to Diamond</t>
  </si>
  <si>
    <t>Skill 2</t>
  </si>
  <si>
    <t>badges</t>
  </si>
  <si>
    <t>schedule (say 12 weeks)</t>
  </si>
  <si>
    <t>Skill 3</t>
  </si>
  <si>
    <t>3+ sub badges under each badge category</t>
  </si>
  <si>
    <t>subbadges</t>
  </si>
  <si>
    <t>point tracker</t>
  </si>
  <si>
    <t>legacypoints</t>
  </si>
  <si>
    <t>Legacy Points is used to carry forward points from previous games</t>
  </si>
  <si>
    <t>skills</t>
  </si>
  <si>
    <t>sports groups</t>
  </si>
  <si>
    <t>each sub badge has a fixed point and is either awareded in complete or not awarded at all</t>
  </si>
  <si>
    <t>LEVEL - plat, diamond</t>
  </si>
  <si>
    <t>sub badges are unique in each game</t>
  </si>
  <si>
    <t>the game is runs for x weeks, each week there is a focus on a certain sub -badge</t>
  </si>
  <si>
    <t>leagacy</t>
  </si>
  <si>
    <t>table1</t>
  </si>
  <si>
    <t>table2 1: many</t>
  </si>
  <si>
    <t>table 3</t>
  </si>
  <si>
    <t>static table</t>
  </si>
  <si>
    <t>badge1</t>
  </si>
  <si>
    <t>badge2</t>
  </si>
  <si>
    <t>Skills table</t>
  </si>
  <si>
    <t>subbadge -&gt; skills map</t>
  </si>
  <si>
    <t>sub badge and points</t>
  </si>
  <si>
    <t>player1</t>
  </si>
  <si>
    <t>Count of Points2</t>
  </si>
  <si>
    <t>Column Labels</t>
  </si>
  <si>
    <t>resilience</t>
  </si>
  <si>
    <t>player2</t>
  </si>
  <si>
    <t>communication</t>
  </si>
  <si>
    <t>legacy points</t>
  </si>
  <si>
    <t>dependent on legacy table</t>
  </si>
  <si>
    <t>table4 1:1</t>
  </si>
  <si>
    <t>table 5 level</t>
  </si>
  <si>
    <t>subbadge --badge map</t>
  </si>
  <si>
    <t>Data logger</t>
  </si>
  <si>
    <t>Bronze</t>
  </si>
  <si>
    <t>till 30</t>
  </si>
  <si>
    <t xml:space="preserve">badge level </t>
  </si>
  <si>
    <t>Silver</t>
  </si>
  <si>
    <t>gold</t>
  </si>
  <si>
    <t>plat</t>
  </si>
  <si>
    <t>emerald</t>
  </si>
  <si>
    <t>diamond</t>
  </si>
  <si>
    <t>individual --&gt; Team</t>
  </si>
  <si>
    <t>brave-gorilla</t>
  </si>
  <si>
    <t>galactic-fishes</t>
  </si>
  <si>
    <t>brave-dragon-2</t>
  </si>
  <si>
    <t>eGAME</t>
  </si>
  <si>
    <t>Main Badge</t>
  </si>
  <si>
    <t>Sub Badge</t>
  </si>
  <si>
    <t>Points</t>
  </si>
  <si>
    <t>Total Sum of Points</t>
  </si>
  <si>
    <t>Total Count of Points2</t>
  </si>
  <si>
    <t>DFD</t>
  </si>
  <si>
    <t>Description</t>
  </si>
  <si>
    <t>Skills</t>
  </si>
  <si>
    <t>Take part in an individual skills evaluation session</t>
  </si>
  <si>
    <t>Create a game plan in relation to drop spot, rotation and loudouts</t>
  </si>
  <si>
    <t>Demonstrate basic mechanics</t>
  </si>
  <si>
    <t>Contribute to team name and agree on conduct</t>
  </si>
  <si>
    <t>Create communications stratagy</t>
  </si>
  <si>
    <t>Understand your role within your team</t>
  </si>
  <si>
    <t>Focus on previous mistakes by practising improvements in a competetive match</t>
  </si>
  <si>
    <t>Set a new goal</t>
  </si>
  <si>
    <t>Use replay review to identify mistakes in a competitive match</t>
  </si>
  <si>
    <t>Help create the group code of conduct</t>
  </si>
  <si>
    <t>Dont breech the group or duo conduct</t>
  </si>
  <si>
    <t>Encourage other players or teams</t>
  </si>
  <si>
    <t>Record stats in digital format</t>
  </si>
  <si>
    <t>use online tools to plan your strategy</t>
  </si>
  <si>
    <t>Take screenshots, clips and create notes about your journey</t>
  </si>
  <si>
    <t>Achieve diamond rank</t>
  </si>
  <si>
    <t>Week no</t>
  </si>
  <si>
    <t>Session Focus</t>
  </si>
  <si>
    <t>Sub-badge</t>
  </si>
  <si>
    <t>Link To Session Plan</t>
  </si>
  <si>
    <t>Link to Session Slides</t>
  </si>
  <si>
    <t>Welcome/Settle In</t>
  </si>
  <si>
    <t>Code of Conduct</t>
  </si>
  <si>
    <t>Player Evaluation</t>
  </si>
  <si>
    <t>Player evaluation cont.</t>
  </si>
  <si>
    <t>Duo Allocation</t>
  </si>
  <si>
    <t>Team Roles</t>
  </si>
  <si>
    <t>Practice Routines</t>
  </si>
  <si>
    <t>Drop spot &amp; Loot paths</t>
  </si>
  <si>
    <t>Goal Setting</t>
  </si>
  <si>
    <t>Stat tracking</t>
  </si>
  <si>
    <t>Ranked Grind</t>
  </si>
  <si>
    <t>End of  the Road</t>
  </si>
  <si>
    <t>Column 1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</si>
  <si>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</si>
  <si>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</si>
  <si>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</si>
  <si>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</si>
  <si>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</si>
  <si>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</si>
  <si>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</si>
  <si>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</si>
  <si>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</si>
  <si>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</si>
  <si>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</si>
  <si>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</si>
  <si>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</si>
  <si>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</si>
  <si>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</si>
  <si>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Player 16</t>
  </si>
  <si>
    <t>Legacy Points</t>
  </si>
  <si>
    <t>Positive Voice</t>
  </si>
  <si>
    <t>End of The Road</t>
  </si>
  <si>
    <t>TOTAL</t>
  </si>
  <si>
    <t>Badge Cat</t>
  </si>
  <si>
    <t>game mastery</t>
  </si>
  <si>
    <t>TeamWork</t>
  </si>
  <si>
    <t>Digital Skills</t>
  </si>
  <si>
    <t>Help build and set up a shared homebase (shelter, storage, food)</t>
  </si>
  <si>
    <t>Gather weapons, armour, and food to journey to the nether as listed in the team plan</t>
  </si>
  <si>
    <t>Understand and prepare for the Ender Dragon fight</t>
  </si>
  <si>
    <t>Work with the team to come up with an plan for each stage</t>
  </si>
  <si>
    <t>Take on and stick to a team role across sessions</t>
  </si>
  <si>
    <t>Work positively with others - adhere to the code of conduct</t>
  </si>
  <si>
    <t>Set a goal related to this challenge</t>
  </si>
  <si>
    <t>Keep trying after setbacks</t>
  </si>
  <si>
    <t>Talk about what you learned and how you improved</t>
  </si>
  <si>
    <t>Help create the Code of Conduct</t>
  </si>
  <si>
    <t>Don't breech the code of conduct</t>
  </si>
  <si>
    <t>Support another player to fulfill their role</t>
  </si>
  <si>
    <t>Create a digital version of your team's plan</t>
  </si>
  <si>
    <t>Carry out online research to support your team's plan</t>
  </si>
  <si>
    <t>Kill the ender dragon and complete the game</t>
  </si>
  <si>
    <t>Complete the game before the other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</si>
</sst>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rgb="FF000000"/>
      <name val="Arial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000000"/>
      <name val="Arial"/>
      <scheme val="minor"/>
    </font>
    <font>
      <b/>
      <sz val="10"/>
      <color rgb="FFF6F8F9"/>
      <name val="Arial"/>
    </font>
    <font>
      <b/>
      <sz val="10"/>
      <color rgb="FFFFFFFF"/>
      <name val="Arial"/>
      <scheme val="minor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/>
      <top/>
      <bottom style="thin">
        <color rgb="FF35685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rgb="FF999999"/>
      </right>
      <top style="thin">
        <color indexed="8"/>
      </top>
      <bottom style="thin">
        <color rgb="FF999999"/>
      </bottom>
      <diagonal/>
    </border>
    <border>
      <left style="thin">
        <color rgb="FF999999"/>
      </left>
      <right style="thin">
        <color indexed="8"/>
      </right>
      <top style="thin">
        <color indexed="8"/>
      </top>
      <bottom style="thin">
        <color rgb="FF999999"/>
      </bottom>
      <diagonal/>
    </border>
    <border>
      <left style="thin">
        <color indexed="8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indexed="8"/>
      </right>
      <top style="thin">
        <color rgb="FF999999"/>
      </top>
      <bottom style="thin">
        <color rgb="FF999999"/>
      </bottom>
      <diagonal/>
    </border>
    <border>
      <left style="thin">
        <color indexed="8"/>
      </left>
      <right style="thin">
        <color rgb="FF999999"/>
      </right>
      <top style="thin">
        <color rgb="FF999999"/>
      </top>
      <bottom style="thin">
        <color indexed="8"/>
      </bottom>
      <diagonal/>
    </border>
    <border>
      <left style="thin">
        <color rgb="FF999999"/>
      </left>
      <right style="thin">
        <color indexed="8"/>
      </right>
      <top style="thin">
        <color rgb="FF99999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rgb="FF999999"/>
      </bottom>
      <diagonal/>
    </border>
    <border>
      <left style="thin">
        <color indexed="8"/>
      </left>
      <right/>
      <top style="thin">
        <color rgb="FF999999"/>
      </top>
      <bottom style="thin">
        <color rgb="FF999999"/>
      </bottom>
      <diagonal/>
    </border>
    <border>
      <left style="thin">
        <color indexed="8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rgb="FF999999"/>
      </left>
      <right style="thin">
        <color rgb="FF999999"/>
      </right>
      <top style="thin">
        <color indexed="8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indexed="8"/>
      </bottom>
      <diagonal/>
    </border>
    <border>
      <left style="thin">
        <color indexed="8"/>
      </left>
      <right style="thin">
        <color rgb="FF999999"/>
      </right>
      <top style="thin">
        <color indexed="8"/>
      </top>
      <bottom/>
      <diagonal/>
    </border>
    <border>
      <left style="thin">
        <color rgb="FF999999"/>
      </left>
      <right style="thin">
        <color rgb="FF999999"/>
      </right>
      <top style="thin">
        <color indexed="8"/>
      </top>
      <bottom/>
      <diagonal/>
    </border>
    <border>
      <left style="thin">
        <color rgb="FF999999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5" fillId="2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6" xfId="0" pivotButton="1" applyBorder="1"/>
    <xf numFmtId="0" fontId="0" fillId="0" borderId="10" xfId="0" applyBorder="1"/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 indent="1"/>
    </xf>
    <xf numFmtId="0" fontId="0" fillId="0" borderId="11" xfId="0" applyBorder="1"/>
    <xf numFmtId="0" fontId="0" fillId="0" borderId="9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6" xfId="0" applyBorder="1"/>
    <xf numFmtId="0" fontId="8" fillId="0" borderId="0" xfId="0" applyFont="1"/>
    <xf numFmtId="0" fontId="0" fillId="0" borderId="12" xfId="0" pivotButton="1" applyBorder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0" fillId="5" borderId="0" xfId="0" applyFill="1"/>
    <xf numFmtId="0" fontId="0" fillId="0" borderId="17" xfId="0" pivotButton="1" applyBorder="1"/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2" borderId="0" xfId="0" applyFont="1" applyFill="1"/>
    <xf numFmtId="0" fontId="13" fillId="0" borderId="0" xfId="0" applyFont="1" applyAlignment="1">
      <alignment vertical="center"/>
    </xf>
    <xf numFmtId="0" fontId="14" fillId="2" borderId="0" xfId="0" applyFont="1" applyFill="1"/>
    <xf numFmtId="0" fontId="9" fillId="0" borderId="0" xfId="0" applyFont="1" applyAlignment="1">
      <alignment vertical="center"/>
    </xf>
    <xf numFmtId="0" fontId="14" fillId="2" borderId="5" xfId="0" applyFont="1" applyFill="1" applyBorder="1"/>
  </cellXfs>
  <cellStyles count="1">
    <cellStyle name="Normal" xfId="0" builtinId="0"/>
  </cellStyles>
  <dxfs count="56">
    <dxf>
      <fill>
        <patternFill patternType="solid">
          <fgColor rgb="FFBF9000"/>
          <bgColor rgb="FFBF9000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DD7E6B"/>
          <bgColor rgb="FFDD7E6B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35685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horizontal="center"/>
    </dxf>
    <dxf>
      <border>
        <vertical style="thin">
          <color rgb="FF999999"/>
        </vertical>
        <horizontal style="thin">
          <color rgb="FF999999"/>
        </horizontal>
      </border>
    </dxf>
    <dxf>
      <border>
        <vertical style="thin">
          <color rgb="FF999999"/>
        </vertical>
        <horizontal style="thin">
          <color rgb="FF999999"/>
        </horizontal>
      </border>
    </dxf>
    <dxf>
      <border>
        <vertical style="thin">
          <color rgb="FF999999"/>
        </vertical>
        <horizontal style="thin">
          <color rgb="FF999999"/>
        </horizontal>
      </border>
    </dxf>
    <dxf>
      <border>
        <vertical style="thin">
          <color rgb="FF999999"/>
        </vertical>
        <horizontal style="thin">
          <color rgb="FF999999"/>
        </horizontal>
      </border>
    </dxf>
    <dxf>
      <border>
        <vertical style="thin">
          <color rgb="FF999999"/>
        </vertical>
        <horizontal style="thin">
          <color rgb="FF999999"/>
        </horizontal>
      </border>
    </dxf>
    <dxf>
      <border>
        <vertical style="thin">
          <color rgb="FF999999"/>
        </vertical>
        <horizontal style="thin">
          <color rgb="FF999999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name="Road to Diamond- Module1-style" pivot="0" count="4" xr9:uid="{00000000-0011-0000-FFFF-FFFF00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RTD Module1 - Schedule-style" pivot="0" count="4" xr9:uid="{00000000-0011-0000-FFFF-FFFF01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RTD Module 1 - Points Tracker-style" pivot="0" count="4" xr9:uid="{00000000-0011-0000-FFFF-FFFF02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Rocket League Player Points-style" pivot="0" count="4" xr9:uid="{00000000-0011-0000-FFFF-FFFF03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Defeat The Ednder Dragon - MCMo-style" pivot="0" count="4" xr9:uid="{00000000-0011-0000-FFFF-FFFF04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DtED MCModule 1 - Points Tracke-style" pivot="0" count="4" xr9:uid="{00000000-0011-0000-FFFF-FFFF05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Minecraft Player Points-style" pivot="0" count="4" xr9:uid="{00000000-0011-0000-FFFF-FFFF06000000}">
      <tableStyleElement type="wholeTable" size="0" dxfId="31"/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323850</xdr:colOff>
      <xdr:row>11</xdr:row>
      <xdr:rowOff>66675</xdr:rowOff>
    </xdr:from>
    <xdr:to>
      <xdr:col>17</xdr:col>
      <xdr:colOff>1066800</xdr:colOff>
      <xdr:row>27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7B561C-9D99-AB63-C395-E48BA5AA1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01975" y="1847850"/>
          <a:ext cx="2800350" cy="26289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, Rick (Client Servicing &amp; Engagement Platform)" refreshedDate="46111.276725000003" createdVersion="8" refreshedVersion="8" minRefreshableVersion="3" recordCount="17" xr:uid="{ADAE69DE-A7C8-EB4C-8BD7-4215EDF1826F}">
  <cacheSource type="worksheet">
    <worksheetSource name="DtED_Group1_Points"/>
  </cacheSource>
  <cacheFields count="7">
    <cacheField name="Main Badge" numFmtId="0">
      <sharedItems count="5">
        <s v="Game Mastery"/>
        <s v="Teamwork"/>
        <s v="Personal Development"/>
        <s v="Esports Citizen"/>
        <s v="Digital skills"/>
      </sharedItems>
    </cacheField>
    <cacheField name="Sub Badge" numFmtId="0">
      <sharedItems count="17">
        <s v="Base Builder"/>
        <s v="Nether Ready"/>
        <s v="Dragon Prepared"/>
        <s v="Team Planner"/>
        <s v="Role Player"/>
        <s v="Mission Teamate"/>
        <s v="Goal Setter"/>
        <s v="Resilient"/>
        <s v="Reflection"/>
        <s v="World Code"/>
        <s v="Top Citizen"/>
        <s v="Supportive Teammate"/>
        <s v="Document Designer"/>
        <s v="Research Ranger"/>
        <s v="Storyteller"/>
        <s v="Dragon Slayer"/>
        <s v="Completed It First"/>
      </sharedItems>
    </cacheField>
    <cacheField name="Points" numFmtId="0">
      <sharedItems containsSemiMixedTypes="0" containsString="0" containsNumber="1" containsInteger="1" minValue="3" maxValue="15"/>
    </cacheField>
    <cacheField name="Description" numFmtId="0">
      <sharedItems/>
    </cacheField>
    <cacheField name="Skill 1" numFmtId="0">
      <sharedItems count="8">
        <s v="Problem Solving"/>
        <s v="Resilience"/>
        <s v="Planning &amp; Organising"/>
        <s v="Working with Others"/>
        <s v="Confidence"/>
        <s v="Decision Making"/>
        <s v="Self-Management"/>
        <s v="Digital Literacy"/>
      </sharedItems>
    </cacheField>
    <cacheField name="Skill 2" numFmtId="0">
      <sharedItems count="8">
        <s v="Planning &amp; Organising"/>
        <s v="Self-Management"/>
        <s v="Creativity"/>
        <s v="Resilience"/>
        <s v="Confidence"/>
        <s v="Leadership"/>
        <s v="Digital Literacy"/>
        <s v="Working with Others"/>
      </sharedItems>
    </cacheField>
    <cacheField name="Skill 3" numFmtId="0">
      <sharedItems count="7">
        <s v="Working with Others"/>
        <s v="Decision Making"/>
        <s v="Digital Literacy"/>
        <s v="Confidence"/>
        <s v="Leadership"/>
        <s v="Self-Management"/>
        <s v="Problem Solv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, Rick (Client Servicing &amp; Engagement Platform)" refreshedDate="46111.277653819445" createdVersion="8" refreshedVersion="8" minRefreshableVersion="3" recordCount="16" xr:uid="{6B0DBA82-0601-104B-A5B6-7092D4F8C133}">
  <cacheSource type="worksheet">
    <worksheetSource name="RTD_Subbadges"/>
  </cacheSource>
  <cacheFields count="7">
    <cacheField name="Main Badge" numFmtId="0">
      <sharedItems count="5">
        <s v="Game Mastery"/>
        <s v="Teamwork"/>
        <s v="Personal Development"/>
        <s v="Esports Citizen"/>
        <s v="Digital skills"/>
      </sharedItems>
    </cacheField>
    <cacheField name="Sub Badge" numFmtId="0">
      <sharedItems count="16">
        <s v="Skill Evaluation"/>
        <s v="Master Plan"/>
        <s v="Basic Mechanics"/>
        <s v="Duo Snatcher"/>
        <s v="Tactical Minds"/>
        <s v="Role Model"/>
        <s v="Learn In Action"/>
        <s v="Goal Scorer"/>
        <s v="Player Performance"/>
        <s v="Conduct Creator"/>
        <s v="Code Keeper"/>
        <s v="Positve Voice"/>
        <s v="Data Logger"/>
        <s v="Prep Master"/>
        <s v="Memory Maker"/>
        <s v="End Of The Road"/>
      </sharedItems>
    </cacheField>
    <cacheField name="Points" numFmtId="0">
      <sharedItems containsSemiMixedTypes="0" containsString="0" containsNumber="1" containsInteger="1" minValue="3" maxValue="15"/>
    </cacheField>
    <cacheField name="Description" numFmtId="0">
      <sharedItems/>
    </cacheField>
    <cacheField name="Skill 1" numFmtId="0">
      <sharedItems count="8">
        <s v="Confidence"/>
        <s v="Planning &amp; Organising"/>
        <s v="Working with Others"/>
        <s v="Communication"/>
        <s v="Decision Making"/>
        <s v="Resilience"/>
        <s v="Self-Management"/>
        <s v="Digital Literacy"/>
      </sharedItems>
    </cacheField>
    <cacheField name="Skill 2" numFmtId="0">
      <sharedItems count="8">
        <s v="Resilience"/>
        <s v="Decision Making"/>
        <s v="Creativity"/>
        <s v="Confidence"/>
        <s v="Self-Management"/>
        <s v="Leadership"/>
        <s v="Digital Literacy"/>
        <s v="Planning &amp; Organising"/>
      </sharedItems>
    </cacheField>
    <cacheField name="Skill 3" numFmtId="0">
      <sharedItems count="7">
        <s v="Decision Making"/>
        <s v="Problem Solving"/>
        <s v="Confidence"/>
        <s v="Working with Others"/>
        <s v="Leadership"/>
        <s v="Self-Management"/>
        <s v="Digital Literac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, Rick (Client Servicing &amp; Engagement Platform)" refreshedDate="46111.29170613426" createdVersion="8" refreshedVersion="8" minRefreshableVersion="3" recordCount="33" xr:uid="{00B44CA0-1F71-4743-B5D8-BE364660A933}">
  <cacheSource type="worksheet">
    <worksheetSource name="Table8"/>
  </cacheSource>
  <cacheFields count="4">
    <cacheField name="eGAME" numFmtId="0">
      <sharedItems/>
    </cacheField>
    <cacheField name="Main Badge" numFmtId="0">
      <sharedItems count="5">
        <s v="Game Mastery"/>
        <s v="Teamwork"/>
        <s v="Personal Development"/>
        <s v="Esports Citizen"/>
        <s v="Digital skills"/>
      </sharedItems>
    </cacheField>
    <cacheField name="Sub Badge" numFmtId="0">
      <sharedItems count="33">
        <s v="Skill Evaluation"/>
        <s v="Master Plan"/>
        <s v="Basic Mechanics"/>
        <s v="Duo Snatcher"/>
        <s v="Tactical Minds"/>
        <s v="Role Model"/>
        <s v="Learn In Action"/>
        <s v="Goal Scorer"/>
        <s v="Player Performance"/>
        <s v="Conduct Creator"/>
        <s v="Code Keeper"/>
        <s v="Positve Voice"/>
        <s v="Data Logger"/>
        <s v="Prep Master"/>
        <s v="Memory Maker"/>
        <s v="End Of The Road"/>
        <s v="Base Builder"/>
        <s v="Nether Ready"/>
        <s v="Dragon Prepared"/>
        <s v="Team Planner"/>
        <s v="Role Player"/>
        <s v="Mission Teamate"/>
        <s v="Goal Setter"/>
        <s v="Resilient"/>
        <s v="Reflection"/>
        <s v="World Code"/>
        <s v="Top Citizen"/>
        <s v="Supportive Teammate"/>
        <s v="Document Designer"/>
        <s v="Research Ranger"/>
        <s v="Storyteller"/>
        <s v="Dragon Slayer"/>
        <s v="Completed It First"/>
      </sharedItems>
    </cacheField>
    <cacheField name="Points" numFmtId="0">
      <sharedItems containsSemiMixedTypes="0" containsString="0" containsNumber="1" containsInteger="1" minValue="3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3"/>
    <s v="Help build and set up a shared homebase (shelter, storage, food)"/>
    <x v="0"/>
    <x v="0"/>
    <x v="0"/>
  </r>
  <r>
    <x v="0"/>
    <x v="1"/>
    <n v="6"/>
    <s v="Gather weapons, armour, and food to journey to the nether as listed in the team plan"/>
    <x v="1"/>
    <x v="1"/>
    <x v="1"/>
  </r>
  <r>
    <x v="0"/>
    <x v="2"/>
    <n v="6"/>
    <s v="Understand and prepare for the Ender Dragon fight"/>
    <x v="2"/>
    <x v="0"/>
    <x v="2"/>
  </r>
  <r>
    <x v="1"/>
    <x v="3"/>
    <n v="3"/>
    <s v="Work with the team to come up with an plan for each stage"/>
    <x v="3"/>
    <x v="2"/>
    <x v="3"/>
  </r>
  <r>
    <x v="1"/>
    <x v="4"/>
    <n v="6"/>
    <s v="Take on and stick to a team role across sessions"/>
    <x v="4"/>
    <x v="3"/>
    <x v="0"/>
  </r>
  <r>
    <x v="1"/>
    <x v="5"/>
    <n v="6"/>
    <s v="Work positively with others - adhere to the code of conduct"/>
    <x v="3"/>
    <x v="1"/>
    <x v="3"/>
  </r>
  <r>
    <x v="2"/>
    <x v="6"/>
    <n v="3"/>
    <s v="Set a goal related to this challenge"/>
    <x v="5"/>
    <x v="4"/>
    <x v="4"/>
  </r>
  <r>
    <x v="2"/>
    <x v="7"/>
    <n v="6"/>
    <s v="Keep trying after setbacks"/>
    <x v="1"/>
    <x v="4"/>
    <x v="5"/>
  </r>
  <r>
    <x v="2"/>
    <x v="8"/>
    <n v="6"/>
    <s v="Talk about what you learned and how you improved"/>
    <x v="4"/>
    <x v="3"/>
    <x v="5"/>
  </r>
  <r>
    <x v="3"/>
    <x v="9"/>
    <n v="6"/>
    <s v="Help create the Code of Conduct"/>
    <x v="3"/>
    <x v="3"/>
    <x v="6"/>
  </r>
  <r>
    <x v="3"/>
    <x v="10"/>
    <n v="6"/>
    <s v="Don't breech the code of conduct"/>
    <x v="6"/>
    <x v="3"/>
    <x v="3"/>
  </r>
  <r>
    <x v="3"/>
    <x v="11"/>
    <n v="3"/>
    <s v="Support another player to fulfill their role"/>
    <x v="3"/>
    <x v="5"/>
    <x v="3"/>
  </r>
  <r>
    <x v="4"/>
    <x v="12"/>
    <n v="6"/>
    <s v="Create a digital version of your team's plan"/>
    <x v="2"/>
    <x v="2"/>
    <x v="2"/>
  </r>
  <r>
    <x v="4"/>
    <x v="13"/>
    <n v="3"/>
    <s v="Carry out online research to support your team's plan"/>
    <x v="2"/>
    <x v="6"/>
    <x v="1"/>
  </r>
  <r>
    <x v="4"/>
    <x v="14"/>
    <n v="6"/>
    <s v="Take screenshots, clips and create notes about your journey"/>
    <x v="7"/>
    <x v="0"/>
    <x v="0"/>
  </r>
  <r>
    <x v="0"/>
    <x v="15"/>
    <n v="15"/>
    <s v="Kill the ender dragon and complete the game"/>
    <x v="7"/>
    <x v="3"/>
    <x v="3"/>
  </r>
  <r>
    <x v="1"/>
    <x v="16"/>
    <n v="15"/>
    <s v="Complete the game before the other team"/>
    <x v="3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6"/>
    <s v="Take part in an individual skills evaluation session"/>
    <x v="0"/>
    <x v="0"/>
    <x v="0"/>
  </r>
  <r>
    <x v="0"/>
    <x v="1"/>
    <n v="6"/>
    <s v="Create a game plan in relation to drop spot, rotation and loudouts"/>
    <x v="1"/>
    <x v="1"/>
    <x v="1"/>
  </r>
  <r>
    <x v="0"/>
    <x v="2"/>
    <n v="6"/>
    <s v="Demonstrate basic mechanics"/>
    <x v="1"/>
    <x v="1"/>
    <x v="1"/>
  </r>
  <r>
    <x v="1"/>
    <x v="3"/>
    <n v="3"/>
    <s v="Contribute to team name and agree on conduct"/>
    <x v="2"/>
    <x v="2"/>
    <x v="2"/>
  </r>
  <r>
    <x v="1"/>
    <x v="4"/>
    <n v="6"/>
    <s v="Create communications stratagy"/>
    <x v="3"/>
    <x v="3"/>
    <x v="3"/>
  </r>
  <r>
    <x v="1"/>
    <x v="5"/>
    <n v="6"/>
    <s v="Understand your role within your team"/>
    <x v="2"/>
    <x v="4"/>
    <x v="2"/>
  </r>
  <r>
    <x v="2"/>
    <x v="6"/>
    <n v="6"/>
    <s v="Focus on previous mistakes by practising improvements in a competetive match"/>
    <x v="4"/>
    <x v="3"/>
    <x v="4"/>
  </r>
  <r>
    <x v="2"/>
    <x v="7"/>
    <n v="6"/>
    <s v="Set a new goal"/>
    <x v="5"/>
    <x v="3"/>
    <x v="5"/>
  </r>
  <r>
    <x v="2"/>
    <x v="8"/>
    <n v="6"/>
    <s v="Use replay review to identify mistakes in a competitive match"/>
    <x v="0"/>
    <x v="0"/>
    <x v="5"/>
  </r>
  <r>
    <x v="3"/>
    <x v="9"/>
    <n v="6"/>
    <s v="Help create the group code of conduct"/>
    <x v="2"/>
    <x v="0"/>
    <x v="1"/>
  </r>
  <r>
    <x v="3"/>
    <x v="10"/>
    <n v="6"/>
    <s v="Dont breech the group or duo conduct"/>
    <x v="6"/>
    <x v="0"/>
    <x v="2"/>
  </r>
  <r>
    <x v="3"/>
    <x v="11"/>
    <n v="3"/>
    <s v="Encourage other players or teams"/>
    <x v="2"/>
    <x v="5"/>
    <x v="2"/>
  </r>
  <r>
    <x v="4"/>
    <x v="12"/>
    <n v="6"/>
    <s v="Record stats in digital format"/>
    <x v="1"/>
    <x v="2"/>
    <x v="6"/>
  </r>
  <r>
    <x v="4"/>
    <x v="13"/>
    <n v="6"/>
    <s v="use online tools to plan your strategy"/>
    <x v="1"/>
    <x v="6"/>
    <x v="0"/>
  </r>
  <r>
    <x v="4"/>
    <x v="14"/>
    <n v="6"/>
    <s v="Take screenshots, clips and create notes about your journey"/>
    <x v="7"/>
    <x v="7"/>
    <x v="3"/>
  </r>
  <r>
    <x v="0"/>
    <x v="15"/>
    <n v="15"/>
    <s v="Achieve diamond rank"/>
    <x v="7"/>
    <x v="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RTD"/>
    <x v="0"/>
    <x v="0"/>
    <n v="6"/>
  </r>
  <r>
    <s v="RTD"/>
    <x v="0"/>
    <x v="1"/>
    <n v="6"/>
  </r>
  <r>
    <s v="RTD"/>
    <x v="0"/>
    <x v="2"/>
    <n v="6"/>
  </r>
  <r>
    <s v="RTD"/>
    <x v="1"/>
    <x v="3"/>
    <n v="3"/>
  </r>
  <r>
    <s v="RTD"/>
    <x v="1"/>
    <x v="4"/>
    <n v="6"/>
  </r>
  <r>
    <s v="RTD"/>
    <x v="1"/>
    <x v="5"/>
    <n v="6"/>
  </r>
  <r>
    <s v="RTD"/>
    <x v="2"/>
    <x v="6"/>
    <n v="6"/>
  </r>
  <r>
    <s v="RTD"/>
    <x v="2"/>
    <x v="7"/>
    <n v="6"/>
  </r>
  <r>
    <s v="RTD"/>
    <x v="2"/>
    <x v="8"/>
    <n v="6"/>
  </r>
  <r>
    <s v="RTD"/>
    <x v="3"/>
    <x v="9"/>
    <n v="6"/>
  </r>
  <r>
    <s v="RTD"/>
    <x v="3"/>
    <x v="10"/>
    <n v="6"/>
  </r>
  <r>
    <s v="RTD"/>
    <x v="3"/>
    <x v="11"/>
    <n v="3"/>
  </r>
  <r>
    <s v="RTD"/>
    <x v="4"/>
    <x v="12"/>
    <n v="6"/>
  </r>
  <r>
    <s v="RTD"/>
    <x v="4"/>
    <x v="13"/>
    <n v="6"/>
  </r>
  <r>
    <s v="RTD"/>
    <x v="4"/>
    <x v="14"/>
    <n v="6"/>
  </r>
  <r>
    <s v="RTD"/>
    <x v="0"/>
    <x v="15"/>
    <n v="15"/>
  </r>
  <r>
    <s v="DFD"/>
    <x v="0"/>
    <x v="16"/>
    <n v="3"/>
  </r>
  <r>
    <s v="DFD"/>
    <x v="0"/>
    <x v="17"/>
    <n v="6"/>
  </r>
  <r>
    <s v="DFD"/>
    <x v="0"/>
    <x v="18"/>
    <n v="6"/>
  </r>
  <r>
    <s v="DFD"/>
    <x v="1"/>
    <x v="19"/>
    <n v="3"/>
  </r>
  <r>
    <s v="DFD"/>
    <x v="1"/>
    <x v="20"/>
    <n v="6"/>
  </r>
  <r>
    <s v="DFD"/>
    <x v="1"/>
    <x v="21"/>
    <n v="6"/>
  </r>
  <r>
    <s v="DFD"/>
    <x v="2"/>
    <x v="22"/>
    <n v="3"/>
  </r>
  <r>
    <s v="DFD"/>
    <x v="2"/>
    <x v="23"/>
    <n v="6"/>
  </r>
  <r>
    <s v="DFD"/>
    <x v="2"/>
    <x v="24"/>
    <n v="6"/>
  </r>
  <r>
    <s v="DFD"/>
    <x v="3"/>
    <x v="25"/>
    <n v="6"/>
  </r>
  <r>
    <s v="DFD"/>
    <x v="3"/>
    <x v="26"/>
    <n v="6"/>
  </r>
  <r>
    <s v="DFD"/>
    <x v="3"/>
    <x v="27"/>
    <n v="3"/>
  </r>
  <r>
    <s v="DFD"/>
    <x v="4"/>
    <x v="28"/>
    <n v="6"/>
  </r>
  <r>
    <s v="DFD"/>
    <x v="4"/>
    <x v="29"/>
    <n v="3"/>
  </r>
  <r>
    <s v="DFD"/>
    <x v="4"/>
    <x v="30"/>
    <n v="6"/>
  </r>
  <r>
    <s v="DFD"/>
    <x v="0"/>
    <x v="31"/>
    <n v="15"/>
  </r>
  <r>
    <s v="DFD"/>
    <x v="1"/>
    <x v="32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30D26-F69E-4944-ACD1-52872A4C724C}" name="PivotTable3" cacheId="1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12" firstHeaderRow="1" firstDataRow="1" firstDataCol="1"/>
  <pivotFields count="7">
    <pivotField showAll="0">
      <items count="6">
        <item x="4"/>
        <item x="3"/>
        <item x="0"/>
        <item x="2"/>
        <item x="1"/>
        <item t="default"/>
      </items>
    </pivotField>
    <pivotField showAll="0">
      <items count="17">
        <item x="2"/>
        <item x="10"/>
        <item x="9"/>
        <item x="12"/>
        <item x="3"/>
        <item x="15"/>
        <item x="7"/>
        <item x="6"/>
        <item x="1"/>
        <item x="14"/>
        <item x="8"/>
        <item x="11"/>
        <item x="13"/>
        <item x="5"/>
        <item x="0"/>
        <item x="4"/>
        <item t="default"/>
      </items>
    </pivotField>
    <pivotField showAll="0"/>
    <pivotField showAll="0"/>
    <pivotField axis="axisRow" showAll="0">
      <items count="9">
        <item x="3"/>
        <item x="0"/>
        <item x="4"/>
        <item x="7"/>
        <item x="1"/>
        <item x="5"/>
        <item x="6"/>
        <item x="2"/>
        <item t="default"/>
      </items>
    </pivotField>
    <pivotField showAll="0">
      <items count="9">
        <item x="3"/>
        <item x="2"/>
        <item x="1"/>
        <item x="6"/>
        <item x="5"/>
        <item x="7"/>
        <item x="0"/>
        <item x="4"/>
        <item t="default"/>
      </items>
    </pivotField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7F966-88EB-3D4F-9D00-CAE64519CCE0}" name="PivotTable2" cacheId="1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25" firstHeaderRow="1" firstDataRow="1" firstDataCol="1"/>
  <pivotFields count="7">
    <pivotField axis="axisRow" showAll="0">
      <items count="6">
        <item x="4"/>
        <item x="3"/>
        <item x="0"/>
        <item x="2"/>
        <item x="1"/>
        <item t="default"/>
      </items>
    </pivotField>
    <pivotField axis="axisRow" showAll="0">
      <items count="17">
        <item x="2"/>
        <item x="10"/>
        <item x="9"/>
        <item x="12"/>
        <item x="3"/>
        <item x="15"/>
        <item x="7"/>
        <item x="6"/>
        <item x="1"/>
        <item x="14"/>
        <item x="8"/>
        <item x="11"/>
        <item x="13"/>
        <item x="5"/>
        <item x="0"/>
        <item x="4"/>
        <item t="default"/>
      </items>
    </pivotField>
    <pivotField dataField="1" showAll="0"/>
    <pivotField showAll="0"/>
    <pivotField showAll="0"/>
    <pivotField showAll="0"/>
    <pivotField showAll="0"/>
  </pivotFields>
  <rowFields count="2">
    <field x="0"/>
    <field x="1"/>
  </rowFields>
  <rowItems count="22">
    <i>
      <x/>
    </i>
    <i r="1">
      <x v="3"/>
    </i>
    <i r="1">
      <x v="9"/>
    </i>
    <i r="1">
      <x v="12"/>
    </i>
    <i>
      <x v="1"/>
    </i>
    <i r="1">
      <x v="1"/>
    </i>
    <i r="1">
      <x v="2"/>
    </i>
    <i r="1">
      <x v="11"/>
    </i>
    <i>
      <x v="2"/>
    </i>
    <i r="1">
      <x/>
    </i>
    <i r="1">
      <x v="5"/>
    </i>
    <i r="1">
      <x v="8"/>
    </i>
    <i r="1">
      <x v="14"/>
    </i>
    <i>
      <x v="3"/>
    </i>
    <i r="1">
      <x v="6"/>
    </i>
    <i r="1">
      <x v="7"/>
    </i>
    <i r="1">
      <x v="10"/>
    </i>
    <i>
      <x v="4"/>
    </i>
    <i r="1">
      <x v="4"/>
    </i>
    <i r="1">
      <x v="13"/>
    </i>
    <i r="1">
      <x v="15"/>
    </i>
    <i t="grand">
      <x/>
    </i>
  </rowItems>
  <colItems count="1">
    <i/>
  </colItems>
  <dataFields count="1">
    <dataField name="Sum of Points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C2387-DC1C-274A-AE7A-EF8760270142}" name="PivotTable11" cacheId="1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3:H88" firstHeaderRow="1" firstDataRow="2" firstDataCol="1"/>
  <pivotFields count="4">
    <pivotField showAll="0"/>
    <pivotField axis="axisCol" showAll="0">
      <items count="6">
        <item x="4"/>
        <item x="3"/>
        <item x="0"/>
        <item x="2"/>
        <item x="1"/>
        <item t="default"/>
      </items>
    </pivotField>
    <pivotField axis="axisRow" showAll="0">
      <items count="34">
        <item x="16"/>
        <item x="2"/>
        <item x="10"/>
        <item x="32"/>
        <item x="9"/>
        <item x="12"/>
        <item x="28"/>
        <item x="18"/>
        <item x="31"/>
        <item x="3"/>
        <item x="15"/>
        <item x="7"/>
        <item x="22"/>
        <item x="6"/>
        <item x="1"/>
        <item x="14"/>
        <item x="21"/>
        <item x="17"/>
        <item x="8"/>
        <item x="11"/>
        <item x="13"/>
        <item x="24"/>
        <item x="29"/>
        <item x="23"/>
        <item x="5"/>
        <item x="20"/>
        <item x="0"/>
        <item x="30"/>
        <item x="27"/>
        <item x="4"/>
        <item x="19"/>
        <item x="26"/>
        <item x="25"/>
        <item t="default"/>
      </items>
    </pivotField>
    <pivotField dataField="1" showAll="0"/>
  </pivotFields>
  <rowFields count="1">
    <field x="2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oints2" fld="3" subtotal="count" baseField="0" baseItem="0"/>
  </dataFields>
  <formats count="8">
    <format dxfId="20">
      <pivotArea collapsedLevelsAreSubtotals="1" fieldPosition="0">
        <references count="2">
          <reference field="1" count="0" selected="0"/>
          <reference field="2" count="0"/>
        </references>
      </pivotArea>
    </format>
    <format dxfId="21">
      <pivotArea collapsedLevelsAreSubtotals="1" fieldPosition="0">
        <references count="2">
          <reference field="1" count="0" selected="0"/>
          <reference field="2" count="0"/>
        </references>
      </pivotArea>
    </format>
    <format dxfId="22">
      <pivotArea outline="0" collapsedLevelsAreSubtotals="1" fieldPosition="0"/>
    </format>
    <format dxfId="23">
      <pivotArea field="2" type="button" dataOnly="0" labelOnly="1" outline="0" axis="axisRow" fieldPosition="0"/>
    </format>
    <format dxfId="24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6">
      <pivotArea dataOnly="0" labelOnly="1" fieldPosition="0">
        <references count="1">
          <reference field="1" count="0"/>
        </references>
      </pivotArea>
    </format>
    <format dxfId="27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5" selected="0">
              <x v="0"/>
              <x v="1"/>
              <x v="2"/>
              <x v="3"/>
              <x v="4"/>
            </reference>
            <reference field="2" count="3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2B6B4-3C7E-1F43-BB7F-AC90898E0F25}" name="PivotTable7" cacheId="1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N12" firstHeaderRow="1" firstDataRow="1" firstDataCol="1"/>
  <pivotFields count="7">
    <pivotField showAll="0">
      <items count="6">
        <item x="4"/>
        <item x="3"/>
        <item x="0"/>
        <item x="2"/>
        <item x="1"/>
        <item t="default"/>
      </items>
    </pivotField>
    <pivotField showAll="0">
      <items count="18">
        <item x="0"/>
        <item x="16"/>
        <item x="12"/>
        <item x="2"/>
        <item x="15"/>
        <item x="6"/>
        <item x="5"/>
        <item x="1"/>
        <item x="8"/>
        <item x="13"/>
        <item x="7"/>
        <item x="4"/>
        <item x="14"/>
        <item x="11"/>
        <item x="3"/>
        <item x="10"/>
        <item x="9"/>
        <item t="default"/>
      </items>
    </pivotField>
    <pivotField showAll="0"/>
    <pivotField showAll="0"/>
    <pivotField showAll="0">
      <items count="9">
        <item x="4"/>
        <item x="5"/>
        <item x="7"/>
        <item x="2"/>
        <item x="0"/>
        <item x="1"/>
        <item x="6"/>
        <item x="3"/>
        <item t="default"/>
      </items>
    </pivotField>
    <pivotField axis="axisRow" showAll="0">
      <items count="9">
        <item x="4"/>
        <item x="2"/>
        <item x="6"/>
        <item x="5"/>
        <item x="0"/>
        <item x="3"/>
        <item x="1"/>
        <item x="7"/>
        <item t="default"/>
      </items>
    </pivotField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769C7-B627-5C43-B311-84C7E32B6698}" name="PivotTable9" cacheId="1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7:C38" firstHeaderRow="1" firstDataRow="1" firstDataCol="1" rowPageCount="3" colPageCount="1"/>
  <pivotFields count="7">
    <pivotField axis="axisRow" showAll="0">
      <items count="6">
        <item x="4"/>
        <item x="3"/>
        <item x="0"/>
        <item x="2"/>
        <item x="1"/>
        <item t="default"/>
      </items>
    </pivotField>
    <pivotField axis="axisRow" showAll="0">
      <items count="17">
        <item x="2"/>
        <item x="10"/>
        <item x="9"/>
        <item x="12"/>
        <item x="3"/>
        <item x="15"/>
        <item x="7"/>
        <item x="6"/>
        <item x="1"/>
        <item x="14"/>
        <item x="8"/>
        <item x="11"/>
        <item x="13"/>
        <item x="5"/>
        <item x="0"/>
        <item x="4"/>
        <item t="default"/>
      </items>
    </pivotField>
    <pivotField dataField="1" showAll="0"/>
    <pivotField showAll="0"/>
    <pivotField axis="axisPage" multipleItemSelectionAllowed="1" showAll="0">
      <items count="9">
        <item h="1" x="3"/>
        <item h="1" x="0"/>
        <item x="4"/>
        <item h="1" x="7"/>
        <item h="1" x="1"/>
        <item h="1" x="5"/>
        <item h="1" x="6"/>
        <item h="1" x="2"/>
        <item t="default"/>
      </items>
    </pivotField>
    <pivotField axis="axisPage" multipleItemSelectionAllowed="1" showAll="0">
      <items count="9">
        <item h="1" x="3"/>
        <item h="1" x="2"/>
        <item x="1"/>
        <item h="1" x="6"/>
        <item h="1" x="5"/>
        <item h="1" x="7"/>
        <item h="1" x="0"/>
        <item h="1" x="4"/>
        <item t="default"/>
      </items>
    </pivotField>
    <pivotField axis="axisPage" multipleItemSelectionAllowed="1" showAll="0">
      <items count="8">
        <item h="1" x="2"/>
        <item x="0"/>
        <item h="1" x="6"/>
        <item h="1" x="4"/>
        <item h="1" x="1"/>
        <item h="1" x="5"/>
        <item h="1" x="3"/>
        <item t="default"/>
      </items>
    </pivotField>
  </pivotFields>
  <rowFields count="2">
    <field x="0"/>
    <field x="1"/>
  </rowFields>
  <rowItems count="1">
    <i t="grand">
      <x/>
    </i>
  </rowItems>
  <colItems count="1">
    <i/>
  </colItems>
  <pageFields count="3">
    <pageField fld="4" hier="-1"/>
    <pageField fld="5" hier="-1"/>
    <pageField fld="6" hier="-1"/>
  </pageFields>
  <dataFields count="1">
    <dataField name="Sum of Points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B676A-388A-1641-9297-1871BD1D63CF}" name="PivotTable4" cacheId="1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12" firstHeaderRow="1" firstDataRow="1" firstDataCol="1"/>
  <pivotFields count="7">
    <pivotField showAll="0">
      <items count="6">
        <item x="4"/>
        <item x="3"/>
        <item x="0"/>
        <item x="2"/>
        <item x="1"/>
        <item t="default"/>
      </items>
    </pivotField>
    <pivotField showAll="0">
      <items count="17">
        <item x="2"/>
        <item x="10"/>
        <item x="9"/>
        <item x="12"/>
        <item x="3"/>
        <item x="15"/>
        <item x="7"/>
        <item x="6"/>
        <item x="1"/>
        <item x="14"/>
        <item x="8"/>
        <item x="11"/>
        <item x="13"/>
        <item x="5"/>
        <item x="0"/>
        <item x="4"/>
        <item t="default"/>
      </items>
    </pivotField>
    <pivotField showAll="0"/>
    <pivotField showAll="0"/>
    <pivotField showAll="0">
      <items count="9">
        <item x="3"/>
        <item x="0"/>
        <item x="4"/>
        <item x="7"/>
        <item x="1"/>
        <item x="5"/>
        <item x="6"/>
        <item x="2"/>
        <item t="default"/>
      </items>
    </pivotField>
    <pivotField axis="axisRow" showAll="0">
      <items count="9">
        <item x="3"/>
        <item x="2"/>
        <item x="1"/>
        <item x="6"/>
        <item x="5"/>
        <item x="7"/>
        <item x="0"/>
        <item x="4"/>
        <item t="default"/>
      </items>
    </pivotField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753AE-0E7D-9149-AED9-B59085D056DF}" name="PivotTable1" cacheId="1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6" firstHeaderRow="1" firstDataRow="1" firstDataCol="1"/>
  <pivotFields count="7">
    <pivotField axis="axisRow" showAll="0">
      <items count="6">
        <item x="4"/>
        <item x="3"/>
        <item x="0"/>
        <item x="2"/>
        <item x="1"/>
        <item t="default"/>
      </items>
    </pivotField>
    <pivotField axis="axisRow" showAll="0">
      <items count="18">
        <item x="0"/>
        <item x="16"/>
        <item x="12"/>
        <item x="2"/>
        <item x="15"/>
        <item x="6"/>
        <item x="5"/>
        <item x="1"/>
        <item x="8"/>
        <item x="13"/>
        <item x="7"/>
        <item x="4"/>
        <item x="14"/>
        <item x="11"/>
        <item x="3"/>
        <item x="10"/>
        <item x="9"/>
        <item t="default"/>
      </items>
    </pivotField>
    <pivotField dataField="1" showAll="0"/>
    <pivotField showAll="0"/>
    <pivotField showAll="0">
      <items count="9">
        <item x="4"/>
        <item x="5"/>
        <item x="7"/>
        <item x="2"/>
        <item x="0"/>
        <item x="1"/>
        <item x="6"/>
        <item x="3"/>
        <item t="default"/>
      </items>
    </pivotField>
    <pivotField showAll="0">
      <items count="9">
        <item x="4"/>
        <item x="2"/>
        <item x="6"/>
        <item x="5"/>
        <item x="0"/>
        <item x="3"/>
        <item x="1"/>
        <item x="7"/>
        <item t="default"/>
      </items>
    </pivotField>
    <pivotField showAll="0"/>
  </pivotFields>
  <rowFields count="2">
    <field x="0"/>
    <field x="1"/>
  </rowFields>
  <rowItems count="23">
    <i>
      <x/>
    </i>
    <i r="1">
      <x v="2"/>
    </i>
    <i r="1">
      <x v="9"/>
    </i>
    <i r="1">
      <x v="12"/>
    </i>
    <i>
      <x v="1"/>
    </i>
    <i r="1">
      <x v="13"/>
    </i>
    <i r="1">
      <x v="15"/>
    </i>
    <i r="1">
      <x v="16"/>
    </i>
    <i>
      <x v="2"/>
    </i>
    <i r="1">
      <x/>
    </i>
    <i r="1">
      <x v="3"/>
    </i>
    <i r="1">
      <x v="4"/>
    </i>
    <i r="1">
      <x v="7"/>
    </i>
    <i>
      <x v="3"/>
    </i>
    <i r="1">
      <x v="5"/>
    </i>
    <i r="1">
      <x v="8"/>
    </i>
    <i r="1">
      <x v="10"/>
    </i>
    <i>
      <x v="4"/>
    </i>
    <i r="1">
      <x v="1"/>
    </i>
    <i r="1">
      <x v="6"/>
    </i>
    <i r="1">
      <x v="11"/>
    </i>
    <i r="1">
      <x v="14"/>
    </i>
    <i t="grand">
      <x/>
    </i>
  </rowItems>
  <colItems count="1">
    <i/>
  </colItems>
  <dataFields count="1">
    <dataField name="Sum of Points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764C2-665F-CF48-92DA-7E7747ADE115}" name="PivotTable8" cacheId="1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O11" firstHeaderRow="1" firstDataRow="1" firstDataCol="1"/>
  <pivotFields count="7">
    <pivotField showAll="0">
      <items count="6">
        <item x="4"/>
        <item x="3"/>
        <item x="0"/>
        <item x="2"/>
        <item x="1"/>
        <item t="default"/>
      </items>
    </pivotField>
    <pivotField showAll="0">
      <items count="18">
        <item x="0"/>
        <item x="16"/>
        <item x="12"/>
        <item x="2"/>
        <item x="15"/>
        <item x="6"/>
        <item x="5"/>
        <item x="1"/>
        <item x="8"/>
        <item x="13"/>
        <item x="7"/>
        <item x="4"/>
        <item x="14"/>
        <item x="11"/>
        <item x="3"/>
        <item x="10"/>
        <item x="9"/>
        <item t="default"/>
      </items>
    </pivotField>
    <pivotField showAll="0"/>
    <pivotField showAll="0"/>
    <pivotField showAll="0">
      <items count="9">
        <item x="4"/>
        <item x="5"/>
        <item x="7"/>
        <item x="2"/>
        <item x="0"/>
        <item x="1"/>
        <item x="6"/>
        <item x="3"/>
        <item t="default"/>
      </items>
    </pivotField>
    <pivotField showAll="0">
      <items count="9">
        <item x="4"/>
        <item x="2"/>
        <item x="6"/>
        <item x="5"/>
        <item x="0"/>
        <item x="3"/>
        <item x="1"/>
        <item x="7"/>
        <item t="default"/>
      </items>
    </pivotField>
    <pivotField axis="axisRow" showAll="0">
      <items count="8">
        <item x="3"/>
        <item x="1"/>
        <item x="2"/>
        <item x="4"/>
        <item x="6"/>
        <item x="5"/>
        <item x="0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CC004-8492-0843-B9A8-1EEE990015CE}" name="PivotTable6" cacheId="1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M12" firstHeaderRow="1" firstDataRow="1" firstDataCol="1"/>
  <pivotFields count="7">
    <pivotField showAll="0">
      <items count="6">
        <item x="4"/>
        <item x="3"/>
        <item x="0"/>
        <item x="2"/>
        <item x="1"/>
        <item t="default"/>
      </items>
    </pivotField>
    <pivotField showAll="0">
      <items count="18">
        <item x="0"/>
        <item x="16"/>
        <item x="12"/>
        <item x="2"/>
        <item x="15"/>
        <item x="6"/>
        <item x="5"/>
        <item x="1"/>
        <item x="8"/>
        <item x="13"/>
        <item x="7"/>
        <item x="4"/>
        <item x="14"/>
        <item x="11"/>
        <item x="3"/>
        <item x="10"/>
        <item x="9"/>
        <item t="default"/>
      </items>
    </pivotField>
    <pivotField showAll="0"/>
    <pivotField showAll="0"/>
    <pivotField axis="axisRow" showAll="0">
      <items count="9">
        <item x="4"/>
        <item x="5"/>
        <item x="7"/>
        <item x="2"/>
        <item x="0"/>
        <item x="1"/>
        <item x="6"/>
        <item x="3"/>
        <item t="default"/>
      </items>
    </pivotField>
    <pivotField showAll="0">
      <items count="9">
        <item x="4"/>
        <item x="2"/>
        <item x="6"/>
        <item x="5"/>
        <item x="0"/>
        <item x="3"/>
        <item x="1"/>
        <item x="7"/>
        <item t="default"/>
      </items>
    </pivotField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39AF8-A7CF-6A4A-B2AD-D6EFCA8075EC}" name="PivotTable5" cacheId="1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11" firstHeaderRow="1" firstDataRow="1" firstDataCol="1"/>
  <pivotFields count="7">
    <pivotField showAll="0">
      <items count="6">
        <item x="4"/>
        <item x="3"/>
        <item x="0"/>
        <item x="2"/>
        <item x="1"/>
        <item t="default"/>
      </items>
    </pivotField>
    <pivotField showAll="0">
      <items count="17">
        <item x="2"/>
        <item x="10"/>
        <item x="9"/>
        <item x="12"/>
        <item x="3"/>
        <item x="15"/>
        <item x="7"/>
        <item x="6"/>
        <item x="1"/>
        <item x="14"/>
        <item x="8"/>
        <item x="11"/>
        <item x="13"/>
        <item x="5"/>
        <item x="0"/>
        <item x="4"/>
        <item t="default"/>
      </items>
    </pivotField>
    <pivotField showAll="0"/>
    <pivotField showAll="0"/>
    <pivotField showAll="0">
      <items count="9">
        <item x="3"/>
        <item x="0"/>
        <item x="4"/>
        <item x="7"/>
        <item x="1"/>
        <item x="5"/>
        <item x="6"/>
        <item x="2"/>
        <item t="default"/>
      </items>
    </pivotField>
    <pivotField showAll="0">
      <items count="9">
        <item x="3"/>
        <item x="2"/>
        <item x="1"/>
        <item x="6"/>
        <item x="5"/>
        <item x="7"/>
        <item x="0"/>
        <item x="4"/>
        <item t="default"/>
      </items>
    </pivotField>
    <pivotField axis="axisRow" showAll="0">
      <items count="8">
        <item x="2"/>
        <item x="0"/>
        <item x="6"/>
        <item x="4"/>
        <item x="1"/>
        <item x="5"/>
        <item x="3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3FC47-296B-1E42-9A10-B2CDB9957514}" name="PivotTable10" cacheId="1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U40" firstHeaderRow="1" firstDataRow="3" firstDataCol="1"/>
  <pivotFields count="4">
    <pivotField showAll="0"/>
    <pivotField axis="axisCol" showAll="0">
      <items count="6">
        <item x="4"/>
        <item x="3"/>
        <item x="0"/>
        <item x="2"/>
        <item x="1"/>
        <item t="default"/>
      </items>
    </pivotField>
    <pivotField axis="axisRow" showAll="0">
      <items count="34">
        <item x="16"/>
        <item x="2"/>
        <item x="10"/>
        <item x="32"/>
        <item x="9"/>
        <item x="12"/>
        <item x="28"/>
        <item x="18"/>
        <item x="31"/>
        <item x="3"/>
        <item x="15"/>
        <item x="7"/>
        <item x="22"/>
        <item x="6"/>
        <item x="1"/>
        <item x="14"/>
        <item x="21"/>
        <item x="17"/>
        <item x="8"/>
        <item x="11"/>
        <item x="13"/>
        <item x="24"/>
        <item x="29"/>
        <item x="23"/>
        <item x="5"/>
        <item x="20"/>
        <item x="0"/>
        <item x="30"/>
        <item x="27"/>
        <item x="4"/>
        <item x="19"/>
        <item x="26"/>
        <item x="25"/>
        <item t="default"/>
      </items>
    </pivotField>
    <pivotField dataField="1" showAll="0"/>
  </pivotFields>
  <rowFields count="1">
    <field x="2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2">
    <field x="1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Points" fld="3" baseField="0" baseItem="0"/>
    <dataField name="Count of Points2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F74774-46BA-BB4D-B81C-BACD95EE0807}" name="Table8" displayName="Table8" ref="B4:E37" totalsRowShown="0">
  <autoFilter ref="B4:E37" xr:uid="{51F74774-46BA-BB4D-B81C-BACD95EE0807}"/>
  <tableColumns count="4">
    <tableColumn id="1" xr3:uid="{27E6C42E-FA6C-CF4E-82AE-3AEAE4119DBC}" name="eGAME" dataDxfId="18"/>
    <tableColumn id="2" xr3:uid="{ECE12F9A-4DD1-664F-8A03-A7AFFBC27074}" name="Main Badge" dataDxfId="17"/>
    <tableColumn id="3" xr3:uid="{7F1D46B3-AF59-8348-8B84-8ECF106D8B24}" name="Sub Badge" dataDxfId="16"/>
    <tableColumn id="4" xr3:uid="{2D253179-0FCF-6847-90ED-DCC69AC86013}" name="Points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TD_Subbadges" displayName="RTD_Subbadges" ref="A1:G17">
  <tableColumns count="7">
    <tableColumn id="1" xr3:uid="{00000000-0010-0000-0000-000001000000}" name="Main Badge"/>
    <tableColumn id="2" xr3:uid="{00000000-0010-0000-0000-000002000000}" name="Sub Badge"/>
    <tableColumn id="3" xr3:uid="{00000000-0010-0000-0000-000003000000}" name="Points"/>
    <tableColumn id="4" xr3:uid="{00000000-0010-0000-0000-000004000000}" name="Description"/>
    <tableColumn id="5" xr3:uid="{00000000-0010-0000-0000-000005000000}" name="Skill 1"/>
    <tableColumn id="6" xr3:uid="{00000000-0010-0000-0000-000006000000}" name="Skill 2"/>
    <tableColumn id="7" xr3:uid="{00000000-0010-0000-0000-000007000000}" name="Skill 3"/>
  </tableColumns>
  <tableStyleInfo name="Road to Diamond- Module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TD_Schedule" displayName="RTD_Schedule" ref="A1:E13" headerRowDxfId="14" dataDxfId="13" totalsRowDxfId="12">
  <tableColumns count="5">
    <tableColumn id="1" xr3:uid="{00000000-0010-0000-0100-000001000000}" name="Week no" dataDxfId="11"/>
    <tableColumn id="2" xr3:uid="{00000000-0010-0000-0100-000002000000}" name="Session Focus" dataDxfId="10"/>
    <tableColumn id="3" xr3:uid="{00000000-0010-0000-0100-000003000000}" name="Sub-badge" dataDxfId="9"/>
    <tableColumn id="4" xr3:uid="{00000000-0010-0000-0100-000004000000}" name="Link To Session Plan" dataDxfId="8"/>
    <tableColumn id="5" xr3:uid="{00000000-0010-0000-0100-000005000000}" name="Link to Session Slides" dataDxfId="7"/>
  </tableColumns>
  <tableStyleInfo name="RTD Module1 - Schedul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TD_Group_1_Points" displayName="RTD_Group_1_Points" ref="A2:S24">
  <autoFilter ref="A2:S24" xr:uid="{00000000-000C-0000-FFFF-FFFF02000000}">
    <filterColumn colId="1">
      <filters>
        <filter val="Skill Evaluation"/>
      </filters>
    </filterColumn>
  </autoFilter>
  <tableColumns count="19">
    <tableColumn id="1" xr3:uid="{00000000-0010-0000-0200-000001000000}" name="Column 1"/>
    <tableColumn id="2" xr3:uid="{00000000-0010-0000-0200-000002000000}" name="Sub Badge"/>
    <tableColumn id="3" xr3:uid="{00000000-0010-0000-0200-000003000000}" name="Points"/>
    <tableColumn id="4" xr3:uid="{00000000-0010-0000-0200-000004000000}" name="Player 1"/>
    <tableColumn id="5" xr3:uid="{00000000-0010-0000-0200-000005000000}" name="Player 2"/>
    <tableColumn id="6" xr3:uid="{00000000-0010-0000-0200-000006000000}" name="Player 3"/>
    <tableColumn id="7" xr3:uid="{00000000-0010-0000-0200-000007000000}" name="Player 4"/>
    <tableColumn id="8" xr3:uid="{00000000-0010-0000-0200-000008000000}" name="Player 5"/>
    <tableColumn id="9" xr3:uid="{00000000-0010-0000-0200-000009000000}" name="Player 6"/>
    <tableColumn id="10" xr3:uid="{00000000-0010-0000-0200-00000A000000}" name="Player 7"/>
    <tableColumn id="11" xr3:uid="{00000000-0010-0000-0200-00000B000000}" name="Player 8"/>
    <tableColumn id="12" xr3:uid="{00000000-0010-0000-0200-00000C000000}" name="Player 9"/>
    <tableColumn id="13" xr3:uid="{00000000-0010-0000-0200-00000D000000}" name="Player 10"/>
    <tableColumn id="14" xr3:uid="{00000000-0010-0000-0200-00000E000000}" name="Player 11"/>
    <tableColumn id="15" xr3:uid="{00000000-0010-0000-0200-00000F000000}" name="Player 12"/>
    <tableColumn id="16" xr3:uid="{00000000-0010-0000-0200-000010000000}" name="Player 13"/>
    <tableColumn id="17" xr3:uid="{00000000-0010-0000-0200-000011000000}" name="Player 14"/>
    <tableColumn id="18" xr3:uid="{00000000-0010-0000-0200-000012000000}" name="Player 15"/>
    <tableColumn id="19" xr3:uid="{00000000-0010-0000-0200-000013000000}" name="Player 16"/>
  </tableColumns>
  <tableStyleInfo name="RTD Module 1 - Points Tracker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L_Group_1_Player_Points" displayName="RL_Group_1_Player_Points" ref="A2:Q7">
  <tableColumns count="17">
    <tableColumn id="1" xr3:uid="{00000000-0010-0000-0300-000001000000}" name="Badge Cat"/>
    <tableColumn id="2" xr3:uid="{00000000-0010-0000-0300-000002000000}" name="Player 1"/>
    <tableColumn id="3" xr3:uid="{00000000-0010-0000-0300-000003000000}" name="Player 2"/>
    <tableColumn id="4" xr3:uid="{00000000-0010-0000-0300-000004000000}" name="Player 3"/>
    <tableColumn id="5" xr3:uid="{00000000-0010-0000-0300-000005000000}" name="Player 4"/>
    <tableColumn id="6" xr3:uid="{00000000-0010-0000-0300-000006000000}" name="Player 5"/>
    <tableColumn id="7" xr3:uid="{00000000-0010-0000-0300-000007000000}" name="Player 6"/>
    <tableColumn id="8" xr3:uid="{00000000-0010-0000-0300-000008000000}" name="Player 7"/>
    <tableColumn id="9" xr3:uid="{00000000-0010-0000-0300-000009000000}" name="Player 8"/>
    <tableColumn id="10" xr3:uid="{00000000-0010-0000-0300-00000A000000}" name="Player 9"/>
    <tableColumn id="11" xr3:uid="{00000000-0010-0000-0300-00000B000000}" name="Player 10"/>
    <tableColumn id="12" xr3:uid="{00000000-0010-0000-0300-00000C000000}" name="Player 11"/>
    <tableColumn id="13" xr3:uid="{00000000-0010-0000-0300-00000D000000}" name="Player 12"/>
    <tableColumn id="14" xr3:uid="{00000000-0010-0000-0300-00000E000000}" name="Player 13"/>
    <tableColumn id="15" xr3:uid="{00000000-0010-0000-0300-00000F000000}" name="Player 14"/>
    <tableColumn id="16" xr3:uid="{00000000-0010-0000-0300-000010000000}" name="Player 15"/>
    <tableColumn id="17" xr3:uid="{00000000-0010-0000-0300-000011000000}" name="Player 16"/>
  </tableColumns>
  <tableStyleInfo name="Rocket League Player Point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tED_Group1_Points" displayName="DtED_Group1_Points" ref="A1:G18">
  <tableColumns count="7">
    <tableColumn id="1" xr3:uid="{00000000-0010-0000-0400-000001000000}" name="Main Badge"/>
    <tableColumn id="2" xr3:uid="{00000000-0010-0000-0400-000002000000}" name="Sub Badge"/>
    <tableColumn id="3" xr3:uid="{00000000-0010-0000-0400-000003000000}" name="Points"/>
    <tableColumn id="4" xr3:uid="{00000000-0010-0000-0400-000004000000}" name="Description"/>
    <tableColumn id="5" xr3:uid="{00000000-0010-0000-0400-000005000000}" name="Skill 1"/>
    <tableColumn id="6" xr3:uid="{00000000-0010-0000-0400-000006000000}" name="Skill 2"/>
    <tableColumn id="7" xr3:uid="{00000000-0010-0000-0400-000007000000}" name="Skill 3"/>
  </tableColumns>
  <tableStyleInfo name="Defeat The Ednder Dragon - MCMo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CGroup_1_Points" displayName="MCGroup_1_Points" ref="A2:S24">
  <tableColumns count="19">
    <tableColumn id="1" xr3:uid="{00000000-0010-0000-0500-000001000000}" name="Column 1"/>
    <tableColumn id="2" xr3:uid="{00000000-0010-0000-0500-000002000000}" name="Sub Badge"/>
    <tableColumn id="3" xr3:uid="{00000000-0010-0000-0500-000003000000}" name="Points"/>
    <tableColumn id="4" xr3:uid="{00000000-0010-0000-0500-000004000000}" name="Player 1"/>
    <tableColumn id="5" xr3:uid="{00000000-0010-0000-0500-000005000000}" name="Player 2"/>
    <tableColumn id="6" xr3:uid="{00000000-0010-0000-0500-000006000000}" name="Player 3"/>
    <tableColumn id="7" xr3:uid="{00000000-0010-0000-0500-000007000000}" name="Player 4"/>
    <tableColumn id="8" xr3:uid="{00000000-0010-0000-0500-000008000000}" name="Player 5"/>
    <tableColumn id="9" xr3:uid="{00000000-0010-0000-0500-000009000000}" name="Player 6"/>
    <tableColumn id="10" xr3:uid="{00000000-0010-0000-0500-00000A000000}" name="Player 7"/>
    <tableColumn id="11" xr3:uid="{00000000-0010-0000-0500-00000B000000}" name="Player 8"/>
    <tableColumn id="12" xr3:uid="{00000000-0010-0000-0500-00000C000000}" name="Player 9"/>
    <tableColumn id="13" xr3:uid="{00000000-0010-0000-0500-00000D000000}" name="Player 10"/>
    <tableColumn id="14" xr3:uid="{00000000-0010-0000-0500-00000E000000}" name="Player 11"/>
    <tableColumn id="15" xr3:uid="{00000000-0010-0000-0500-00000F000000}" name="Player 12"/>
    <tableColumn id="16" xr3:uid="{00000000-0010-0000-0500-000010000000}" name="Player 13"/>
    <tableColumn id="17" xr3:uid="{00000000-0010-0000-0500-000011000000}" name="Player 14"/>
    <tableColumn id="18" xr3:uid="{00000000-0010-0000-0500-000012000000}" name="Player 15"/>
    <tableColumn id="19" xr3:uid="{00000000-0010-0000-0500-000013000000}" name="Player 16"/>
  </tableColumns>
  <tableStyleInfo name="DtED MCModule 1 - Points Track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C_Group_1_Player_Points" displayName="MC_Group_1_Player_Points" ref="A2:Q7">
  <tableColumns count="17">
    <tableColumn id="1" xr3:uid="{00000000-0010-0000-0600-000001000000}" name="Badge Cat"/>
    <tableColumn id="2" xr3:uid="{00000000-0010-0000-0600-000002000000}" name="Player 1"/>
    <tableColumn id="3" xr3:uid="{00000000-0010-0000-0600-000003000000}" name="Player 2"/>
    <tableColumn id="4" xr3:uid="{00000000-0010-0000-0600-000004000000}" name="Player 3"/>
    <tableColumn id="5" xr3:uid="{00000000-0010-0000-0600-000005000000}" name="Player 4"/>
    <tableColumn id="6" xr3:uid="{00000000-0010-0000-0600-000006000000}" name="Player 5"/>
    <tableColumn id="7" xr3:uid="{00000000-0010-0000-0600-000007000000}" name="Player 6"/>
    <tableColumn id="8" xr3:uid="{00000000-0010-0000-0600-000008000000}" name="Player 7"/>
    <tableColumn id="9" xr3:uid="{00000000-0010-0000-0600-000009000000}" name="Player 8"/>
    <tableColumn id="10" xr3:uid="{00000000-0010-0000-0600-00000A000000}" name="Player 9"/>
    <tableColumn id="11" xr3:uid="{00000000-0010-0000-0600-00000B000000}" name="Player 10"/>
    <tableColumn id="12" xr3:uid="{00000000-0010-0000-0600-00000C000000}" name="Player 11"/>
    <tableColumn id="13" xr3:uid="{00000000-0010-0000-0600-00000D000000}" name="Player 12"/>
    <tableColumn id="14" xr3:uid="{00000000-0010-0000-0600-00000E000000}" name="Player 13"/>
    <tableColumn id="15" xr3:uid="{00000000-0010-0000-0600-00000F000000}" name="Player 14"/>
    <tableColumn id="16" xr3:uid="{00000000-0010-0000-0600-000010000000}" name="Player 15"/>
    <tableColumn id="17" xr3:uid="{00000000-0010-0000-0600-000011000000}" name="Player 16"/>
  </tableColumns>
  <tableStyleInfo name="Minecraft Player Poi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8E57-9A2A-0644-812D-5F80E9C39951}">
  <dimension ref="B1:X88"/>
  <sheetViews>
    <sheetView showGridLines="0" tabSelected="1" topLeftCell="C11" workbookViewId="0">
      <selection activeCell="R36" sqref="R36"/>
    </sheetView>
  </sheetViews>
  <sheetFormatPr defaultColWidth="11.42578125" defaultRowHeight="12.95"/>
  <cols>
    <col min="1" max="1" width="18.7109375" bestFit="1" customWidth="1"/>
    <col min="2" max="2" width="19.7109375" bestFit="1" customWidth="1"/>
    <col min="3" max="3" width="16.42578125" bestFit="1" customWidth="1"/>
    <col min="4" max="4" width="13.7109375" bestFit="1" customWidth="1"/>
    <col min="5" max="5" width="13.42578125" bestFit="1" customWidth="1"/>
    <col min="6" max="6" width="20.28515625" bestFit="1" customWidth="1"/>
    <col min="7" max="7" width="9.85546875" bestFit="1" customWidth="1"/>
    <col min="8" max="8" width="11" bestFit="1" customWidth="1"/>
    <col min="9" max="9" width="12.28515625" bestFit="1" customWidth="1"/>
    <col min="10" max="10" width="18.7109375" bestFit="1" customWidth="1"/>
    <col min="11" max="11" width="9" bestFit="1" customWidth="1"/>
    <col min="12" max="12" width="14.85546875" bestFit="1" customWidth="1"/>
    <col min="13" max="14" width="18.7109375" bestFit="1" customWidth="1"/>
    <col min="15" max="16" width="16.7109375" bestFit="1" customWidth="1"/>
    <col min="17" max="17" width="14.140625" bestFit="1" customWidth="1"/>
    <col min="18" max="18" width="20.42578125" bestFit="1" customWidth="1"/>
    <col min="19" max="19" width="23.140625" bestFit="1" customWidth="1"/>
    <col min="20" max="23" width="16.7109375" bestFit="1" customWidth="1"/>
    <col min="24" max="24" width="13.28515625" bestFit="1" customWidth="1"/>
    <col min="25" max="25" width="16.7109375" bestFit="1" customWidth="1"/>
    <col min="26" max="26" width="19.28515625" bestFit="1" customWidth="1"/>
    <col min="27" max="27" width="10.28515625" bestFit="1" customWidth="1"/>
  </cols>
  <sheetData>
    <row r="1" spans="2:15">
      <c r="B1" s="30" t="s">
        <v>0</v>
      </c>
      <c r="J1" s="30" t="s">
        <v>1</v>
      </c>
      <c r="M1" s="30" t="s">
        <v>1</v>
      </c>
      <c r="N1" s="30" t="s">
        <v>1</v>
      </c>
      <c r="O1" s="30" t="s">
        <v>1</v>
      </c>
    </row>
    <row r="3" spans="2:15">
      <c r="B3" s="18" t="s">
        <v>2</v>
      </c>
      <c r="C3" s="19" t="s">
        <v>3</v>
      </c>
      <c r="E3" s="14" t="s">
        <v>2</v>
      </c>
      <c r="F3" s="14" t="s">
        <v>2</v>
      </c>
      <c r="G3" s="14" t="s">
        <v>2</v>
      </c>
      <c r="J3" s="18" t="s">
        <v>2</v>
      </c>
      <c r="K3" s="19" t="s">
        <v>3</v>
      </c>
      <c r="M3" s="14" t="s">
        <v>2</v>
      </c>
      <c r="N3" s="14" t="s">
        <v>2</v>
      </c>
      <c r="O3" s="14" t="s">
        <v>2</v>
      </c>
    </row>
    <row r="4" spans="2:15">
      <c r="B4" s="20" t="s">
        <v>4</v>
      </c>
      <c r="C4" s="19">
        <v>18</v>
      </c>
      <c r="E4" s="15" t="s">
        <v>5</v>
      </c>
      <c r="F4" s="15" t="s">
        <v>6</v>
      </c>
      <c r="G4" s="15" t="s">
        <v>6</v>
      </c>
      <c r="J4" s="20" t="s">
        <v>4</v>
      </c>
      <c r="K4" s="19">
        <v>15</v>
      </c>
      <c r="M4" s="15" t="s">
        <v>6</v>
      </c>
      <c r="N4" s="15" t="s">
        <v>6</v>
      </c>
      <c r="O4" s="15" t="s">
        <v>6</v>
      </c>
    </row>
    <row r="5" spans="2:15">
      <c r="B5" s="21" t="s">
        <v>7</v>
      </c>
      <c r="C5" s="22">
        <v>6</v>
      </c>
      <c r="E5" s="16" t="s">
        <v>6</v>
      </c>
      <c r="F5" s="16" t="s">
        <v>8</v>
      </c>
      <c r="G5" s="16" t="s">
        <v>9</v>
      </c>
      <c r="J5" s="21" t="s">
        <v>10</v>
      </c>
      <c r="K5" s="22">
        <v>6</v>
      </c>
      <c r="M5" s="16" t="s">
        <v>9</v>
      </c>
      <c r="N5" s="16" t="s">
        <v>8</v>
      </c>
      <c r="O5" s="16" t="s">
        <v>9</v>
      </c>
    </row>
    <row r="6" spans="2:15">
      <c r="B6" s="21" t="s">
        <v>11</v>
      </c>
      <c r="C6" s="22">
        <v>6</v>
      </c>
      <c r="E6" s="16" t="s">
        <v>9</v>
      </c>
      <c r="F6" s="16" t="s">
        <v>9</v>
      </c>
      <c r="G6" s="16" t="s">
        <v>12</v>
      </c>
      <c r="J6" s="21" t="s">
        <v>13</v>
      </c>
      <c r="K6" s="22">
        <v>3</v>
      </c>
      <c r="M6" s="16" t="s">
        <v>12</v>
      </c>
      <c r="N6" s="16" t="s">
        <v>12</v>
      </c>
      <c r="O6" s="16" t="s">
        <v>12</v>
      </c>
    </row>
    <row r="7" spans="2:15">
      <c r="B7" s="21" t="s">
        <v>14</v>
      </c>
      <c r="C7" s="22">
        <v>6</v>
      </c>
      <c r="E7" s="16" t="s">
        <v>12</v>
      </c>
      <c r="F7" s="16" t="s">
        <v>12</v>
      </c>
      <c r="G7" s="16" t="s">
        <v>15</v>
      </c>
      <c r="J7" s="21" t="s">
        <v>16</v>
      </c>
      <c r="K7" s="22">
        <v>6</v>
      </c>
      <c r="M7" s="16" t="s">
        <v>17</v>
      </c>
      <c r="N7" s="16" t="s">
        <v>15</v>
      </c>
      <c r="O7" s="16" t="s">
        <v>15</v>
      </c>
    </row>
    <row r="8" spans="2:15">
      <c r="B8" s="23" t="s">
        <v>18</v>
      </c>
      <c r="C8" s="22">
        <v>15</v>
      </c>
      <c r="E8" s="16" t="s">
        <v>17</v>
      </c>
      <c r="F8" s="16" t="s">
        <v>15</v>
      </c>
      <c r="G8" s="16" t="s">
        <v>19</v>
      </c>
      <c r="J8" s="23" t="s">
        <v>18</v>
      </c>
      <c r="K8" s="22">
        <v>15</v>
      </c>
      <c r="M8" s="16" t="s">
        <v>19</v>
      </c>
      <c r="N8" s="16" t="s">
        <v>17</v>
      </c>
      <c r="O8" s="16" t="s">
        <v>19</v>
      </c>
    </row>
    <row r="9" spans="2:15">
      <c r="B9" s="21" t="s">
        <v>20</v>
      </c>
      <c r="C9" s="22">
        <v>6</v>
      </c>
      <c r="E9" s="16" t="s">
        <v>21</v>
      </c>
      <c r="F9" s="16" t="s">
        <v>17</v>
      </c>
      <c r="G9" s="16" t="s">
        <v>22</v>
      </c>
      <c r="J9" s="21" t="s">
        <v>23</v>
      </c>
      <c r="K9" s="22">
        <v>3</v>
      </c>
      <c r="M9" s="16" t="s">
        <v>21</v>
      </c>
      <c r="N9" s="16" t="s">
        <v>21</v>
      </c>
      <c r="O9" s="16" t="s">
        <v>22</v>
      </c>
    </row>
    <row r="10" spans="2:15">
      <c r="B10" s="21" t="s">
        <v>24</v>
      </c>
      <c r="C10" s="22">
        <v>6</v>
      </c>
      <c r="E10" s="16" t="s">
        <v>22</v>
      </c>
      <c r="F10" s="16" t="s">
        <v>21</v>
      </c>
      <c r="G10" s="16" t="s">
        <v>25</v>
      </c>
      <c r="J10" s="21" t="s">
        <v>26</v>
      </c>
      <c r="K10" s="22">
        <v>6</v>
      </c>
      <c r="M10" s="16" t="s">
        <v>22</v>
      </c>
      <c r="N10" s="16" t="s">
        <v>22</v>
      </c>
      <c r="O10" s="16" t="s">
        <v>25</v>
      </c>
    </row>
    <row r="11" spans="2:15">
      <c r="B11" s="21" t="s">
        <v>27</v>
      </c>
      <c r="C11" s="22">
        <v>3</v>
      </c>
      <c r="E11" s="16" t="s">
        <v>25</v>
      </c>
      <c r="F11" s="16" t="s">
        <v>22</v>
      </c>
      <c r="G11" s="17" t="s">
        <v>28</v>
      </c>
      <c r="J11" s="21" t="s">
        <v>29</v>
      </c>
      <c r="K11" s="22">
        <v>6</v>
      </c>
      <c r="M11" s="16" t="s">
        <v>25</v>
      </c>
      <c r="N11" s="16" t="s">
        <v>25</v>
      </c>
      <c r="O11" s="17" t="s">
        <v>28</v>
      </c>
    </row>
    <row r="12" spans="2:15">
      <c r="B12" s="23" t="s">
        <v>30</v>
      </c>
      <c r="C12" s="22">
        <v>33</v>
      </c>
      <c r="E12" s="17" t="s">
        <v>28</v>
      </c>
      <c r="F12" s="17" t="s">
        <v>28</v>
      </c>
      <c r="J12" s="23" t="s">
        <v>30</v>
      </c>
      <c r="K12" s="22">
        <v>30</v>
      </c>
      <c r="M12" s="17" t="s">
        <v>28</v>
      </c>
      <c r="N12" s="17" t="s">
        <v>28</v>
      </c>
    </row>
    <row r="13" spans="2:15">
      <c r="B13" s="21" t="s">
        <v>31</v>
      </c>
      <c r="C13" s="22">
        <v>6</v>
      </c>
      <c r="J13" s="21" t="s">
        <v>32</v>
      </c>
      <c r="K13" s="22">
        <v>3</v>
      </c>
    </row>
    <row r="14" spans="2:15">
      <c r="B14" s="21" t="s">
        <v>33</v>
      </c>
      <c r="C14" s="22">
        <v>15</v>
      </c>
      <c r="J14" s="21" t="s">
        <v>34</v>
      </c>
      <c r="K14" s="22">
        <v>6</v>
      </c>
    </row>
    <row r="15" spans="2:15">
      <c r="B15" s="21" t="s">
        <v>35</v>
      </c>
      <c r="C15" s="22">
        <v>6</v>
      </c>
      <c r="J15" s="21" t="s">
        <v>36</v>
      </c>
      <c r="K15" s="22">
        <v>15</v>
      </c>
    </row>
    <row r="16" spans="2:15">
      <c r="B16" s="21" t="s">
        <v>37</v>
      </c>
      <c r="C16" s="22">
        <v>6</v>
      </c>
      <c r="J16" s="21" t="s">
        <v>38</v>
      </c>
      <c r="K16" s="22">
        <v>6</v>
      </c>
    </row>
    <row r="17" spans="2:20">
      <c r="B17" s="23" t="s">
        <v>39</v>
      </c>
      <c r="C17" s="22">
        <v>18</v>
      </c>
      <c r="J17" s="23" t="s">
        <v>39</v>
      </c>
      <c r="K17" s="22">
        <v>15</v>
      </c>
    </row>
    <row r="18" spans="2:20">
      <c r="B18" s="21" t="s">
        <v>40</v>
      </c>
      <c r="C18" s="22">
        <v>6</v>
      </c>
      <c r="J18" s="21" t="s">
        <v>41</v>
      </c>
      <c r="K18" s="22">
        <v>3</v>
      </c>
    </row>
    <row r="19" spans="2:20">
      <c r="B19" s="21" t="s">
        <v>42</v>
      </c>
      <c r="C19" s="22">
        <v>6</v>
      </c>
      <c r="J19" s="21" t="s">
        <v>43</v>
      </c>
      <c r="K19" s="22">
        <v>6</v>
      </c>
    </row>
    <row r="20" spans="2:20">
      <c r="B20" s="21" t="s">
        <v>44</v>
      </c>
      <c r="C20" s="22">
        <v>6</v>
      </c>
      <c r="J20" s="21" t="s">
        <v>45</v>
      </c>
      <c r="K20" s="22">
        <v>6</v>
      </c>
    </row>
    <row r="21" spans="2:20">
      <c r="B21" s="23" t="s">
        <v>46</v>
      </c>
      <c r="C21" s="22">
        <v>15</v>
      </c>
      <c r="J21" s="23" t="s">
        <v>46</v>
      </c>
      <c r="K21" s="22">
        <v>30</v>
      </c>
    </row>
    <row r="22" spans="2:20">
      <c r="B22" s="21" t="s">
        <v>47</v>
      </c>
      <c r="C22" s="22">
        <v>3</v>
      </c>
      <c r="J22" s="21" t="s">
        <v>48</v>
      </c>
      <c r="K22" s="22">
        <v>15</v>
      </c>
    </row>
    <row r="23" spans="2:20">
      <c r="B23" s="21" t="s">
        <v>49</v>
      </c>
      <c r="C23" s="22">
        <v>6</v>
      </c>
      <c r="J23" s="21" t="s">
        <v>50</v>
      </c>
      <c r="K23" s="22">
        <v>6</v>
      </c>
    </row>
    <row r="24" spans="2:20">
      <c r="B24" s="21" t="s">
        <v>51</v>
      </c>
      <c r="C24" s="22">
        <v>6</v>
      </c>
      <c r="J24" s="21" t="s">
        <v>52</v>
      </c>
      <c r="K24" s="22">
        <v>6</v>
      </c>
    </row>
    <row r="25" spans="2:20">
      <c r="B25" s="24" t="s">
        <v>28</v>
      </c>
      <c r="C25" s="25">
        <v>99</v>
      </c>
      <c r="J25" s="21" t="s">
        <v>53</v>
      </c>
      <c r="K25" s="22">
        <v>3</v>
      </c>
    </row>
    <row r="26" spans="2:20">
      <c r="J26" s="24" t="s">
        <v>28</v>
      </c>
      <c r="K26" s="25">
        <v>105</v>
      </c>
    </row>
    <row r="28" spans="2:20">
      <c r="E28" s="30" t="s">
        <v>54</v>
      </c>
    </row>
    <row r="31" spans="2:20">
      <c r="P31" s="42" t="s">
        <v>55</v>
      </c>
      <c r="S31" t="s">
        <v>0</v>
      </c>
      <c r="T31" t="s">
        <v>56</v>
      </c>
    </row>
    <row r="32" spans="2:20">
      <c r="P32" t="s">
        <v>57</v>
      </c>
    </row>
    <row r="33" spans="2:20">
      <c r="B33" s="31" t="s">
        <v>58</v>
      </c>
      <c r="C33" s="25" t="s">
        <v>9</v>
      </c>
      <c r="F33" s="30" t="s">
        <v>59</v>
      </c>
      <c r="P33" t="s">
        <v>60</v>
      </c>
      <c r="Q33" t="s">
        <v>61</v>
      </c>
    </row>
    <row r="34" spans="2:20">
      <c r="B34" s="31" t="s">
        <v>62</v>
      </c>
      <c r="C34" s="25" t="s">
        <v>9</v>
      </c>
      <c r="P34" t="s">
        <v>63</v>
      </c>
      <c r="S34" t="s">
        <v>56</v>
      </c>
      <c r="T34" t="s">
        <v>64</v>
      </c>
    </row>
    <row r="35" spans="2:20">
      <c r="B35" s="31" t="s">
        <v>65</v>
      </c>
      <c r="C35" s="25" t="s">
        <v>9</v>
      </c>
      <c r="F35" s="30" t="s">
        <v>66</v>
      </c>
      <c r="P35" t="s">
        <v>67</v>
      </c>
      <c r="S35" t="s">
        <v>56</v>
      </c>
      <c r="T35" t="s">
        <v>68</v>
      </c>
    </row>
    <row r="36" spans="2:20">
      <c r="P36" t="s">
        <v>69</v>
      </c>
    </row>
    <row r="37" spans="2:20">
      <c r="B37" s="18" t="s">
        <v>2</v>
      </c>
      <c r="C37" s="19" t="s">
        <v>3</v>
      </c>
      <c r="F37" s="30" t="s">
        <v>70</v>
      </c>
      <c r="P37" t="s">
        <v>71</v>
      </c>
    </row>
    <row r="38" spans="2:20">
      <c r="B38" s="24" t="s">
        <v>28</v>
      </c>
      <c r="C38" s="25"/>
      <c r="P38" t="s">
        <v>72</v>
      </c>
    </row>
    <row r="39" spans="2:20">
      <c r="F39" s="30" t="s">
        <v>73</v>
      </c>
      <c r="P39" t="s">
        <v>74</v>
      </c>
    </row>
    <row r="41" spans="2:20">
      <c r="F41" s="30" t="s">
        <v>75</v>
      </c>
    </row>
    <row r="43" spans="2:20">
      <c r="F43" s="30" t="s">
        <v>76</v>
      </c>
    </row>
    <row r="50" spans="2:24">
      <c r="V50" t="s">
        <v>77</v>
      </c>
    </row>
    <row r="51" spans="2:24">
      <c r="N51" t="s">
        <v>78</v>
      </c>
      <c r="P51" t="s">
        <v>79</v>
      </c>
      <c r="S51" t="s">
        <v>80</v>
      </c>
      <c r="V51" t="s">
        <v>81</v>
      </c>
      <c r="W51" t="s">
        <v>82</v>
      </c>
      <c r="X51" t="s">
        <v>83</v>
      </c>
    </row>
    <row r="52" spans="2:24">
      <c r="N52" t="s">
        <v>84</v>
      </c>
      <c r="P52" t="s">
        <v>85</v>
      </c>
      <c r="S52" t="s">
        <v>86</v>
      </c>
      <c r="V52" t="s">
        <v>87</v>
      </c>
      <c r="W52">
        <v>12</v>
      </c>
      <c r="X52">
        <v>13</v>
      </c>
    </row>
    <row r="53" spans="2:24" ht="12.75">
      <c r="B53" s="43" t="s">
        <v>88</v>
      </c>
      <c r="C53" s="43" t="s">
        <v>89</v>
      </c>
      <c r="D53" s="56"/>
      <c r="E53" s="56"/>
      <c r="F53" s="56"/>
      <c r="G53" s="56"/>
      <c r="H53" s="44"/>
      <c r="N53" t="s">
        <v>21</v>
      </c>
      <c r="P53" s="4" t="s">
        <v>32</v>
      </c>
      <c r="Q53" t="s">
        <v>90</v>
      </c>
      <c r="S53" s="4" t="s">
        <v>32</v>
      </c>
      <c r="T53">
        <v>3</v>
      </c>
      <c r="V53" t="s">
        <v>91</v>
      </c>
    </row>
    <row r="54" spans="2:24" ht="12.75">
      <c r="B54" s="43" t="s">
        <v>2</v>
      </c>
      <c r="C54" s="60" t="s">
        <v>4</v>
      </c>
      <c r="D54" s="61" t="s">
        <v>18</v>
      </c>
      <c r="E54" s="61" t="s">
        <v>30</v>
      </c>
      <c r="F54" s="61" t="s">
        <v>39</v>
      </c>
      <c r="G54" s="62" t="s">
        <v>46</v>
      </c>
      <c r="H54" s="45" t="s">
        <v>28</v>
      </c>
      <c r="P54" s="4" t="s">
        <v>32</v>
      </c>
      <c r="Q54" t="s">
        <v>92</v>
      </c>
      <c r="S54" t="s">
        <v>93</v>
      </c>
      <c r="T54" t="s">
        <v>94</v>
      </c>
    </row>
    <row r="55" spans="2:24" ht="12.75">
      <c r="B55" s="53" t="s">
        <v>32</v>
      </c>
      <c r="C55" s="47"/>
      <c r="D55" s="57"/>
      <c r="E55" s="57">
        <v>1</v>
      </c>
      <c r="F55" s="57"/>
      <c r="G55" s="57"/>
      <c r="H55" s="48">
        <v>1</v>
      </c>
      <c r="P55" s="4" t="s">
        <v>32</v>
      </c>
    </row>
    <row r="56" spans="2:24" ht="12.75">
      <c r="B56" s="54" t="s">
        <v>31</v>
      </c>
      <c r="C56" s="49"/>
      <c r="D56" s="58"/>
      <c r="E56" s="58">
        <v>1</v>
      </c>
      <c r="F56" s="58"/>
      <c r="G56" s="58"/>
      <c r="H56" s="50">
        <v>1</v>
      </c>
    </row>
    <row r="57" spans="2:24" ht="12.75">
      <c r="B57" s="54" t="s">
        <v>20</v>
      </c>
      <c r="C57" s="49"/>
      <c r="D57" s="58">
        <v>1</v>
      </c>
      <c r="E57" s="58"/>
      <c r="F57" s="58"/>
      <c r="G57" s="58"/>
      <c r="H57" s="50">
        <v>1</v>
      </c>
    </row>
    <row r="58" spans="2:24" ht="12.75">
      <c r="B58" s="54" t="s">
        <v>48</v>
      </c>
      <c r="C58" s="49"/>
      <c r="D58" s="58"/>
      <c r="E58" s="58"/>
      <c r="F58" s="58"/>
      <c r="G58" s="58">
        <v>1</v>
      </c>
      <c r="H58" s="50">
        <v>1</v>
      </c>
    </row>
    <row r="59" spans="2:24" ht="12.75">
      <c r="B59" s="54" t="s">
        <v>24</v>
      </c>
      <c r="C59" s="49"/>
      <c r="D59" s="58">
        <v>1</v>
      </c>
      <c r="E59" s="58"/>
      <c r="F59" s="58"/>
      <c r="G59" s="58"/>
      <c r="H59" s="50">
        <v>1</v>
      </c>
    </row>
    <row r="60" spans="2:24" ht="12.75">
      <c r="B60" s="54" t="s">
        <v>7</v>
      </c>
      <c r="C60" s="49">
        <v>1</v>
      </c>
      <c r="D60" s="58"/>
      <c r="E60" s="58"/>
      <c r="F60" s="58"/>
      <c r="G60" s="58"/>
      <c r="H60" s="50">
        <v>1</v>
      </c>
      <c r="N60" t="s">
        <v>95</v>
      </c>
      <c r="P60" t="s">
        <v>96</v>
      </c>
    </row>
    <row r="61" spans="2:24" ht="12.75">
      <c r="B61" s="54" t="s">
        <v>10</v>
      </c>
      <c r="C61" s="49">
        <v>1</v>
      </c>
      <c r="D61" s="58"/>
      <c r="E61" s="58"/>
      <c r="F61" s="58"/>
      <c r="G61" s="58"/>
      <c r="H61" s="50">
        <v>1</v>
      </c>
      <c r="N61" t="s">
        <v>97</v>
      </c>
    </row>
    <row r="62" spans="2:24" ht="12.75">
      <c r="B62" s="54" t="s">
        <v>34</v>
      </c>
      <c r="C62" s="49"/>
      <c r="D62" s="58"/>
      <c r="E62" s="58">
        <v>1</v>
      </c>
      <c r="F62" s="58"/>
      <c r="G62" s="58"/>
      <c r="H62" s="50">
        <v>1</v>
      </c>
      <c r="N62" t="s">
        <v>98</v>
      </c>
      <c r="O62" t="s">
        <v>4</v>
      </c>
      <c r="P62" t="s">
        <v>99</v>
      </c>
      <c r="Q62" t="s">
        <v>100</v>
      </c>
      <c r="R62" t="s">
        <v>101</v>
      </c>
    </row>
    <row r="63" spans="2:24" ht="12.75">
      <c r="B63" s="54" t="s">
        <v>36</v>
      </c>
      <c r="C63" s="49"/>
      <c r="D63" s="58"/>
      <c r="E63" s="58">
        <v>1</v>
      </c>
      <c r="F63" s="58"/>
      <c r="G63" s="58"/>
      <c r="H63" s="50">
        <v>1</v>
      </c>
      <c r="P63" t="s">
        <v>102</v>
      </c>
    </row>
    <row r="64" spans="2:24" ht="12.75">
      <c r="B64" s="54" t="s">
        <v>47</v>
      </c>
      <c r="C64" s="49"/>
      <c r="D64" s="58"/>
      <c r="E64" s="58"/>
      <c r="F64" s="58"/>
      <c r="G64" s="58">
        <v>1</v>
      </c>
      <c r="H64" s="50">
        <v>1</v>
      </c>
      <c r="P64" t="s">
        <v>103</v>
      </c>
    </row>
    <row r="65" spans="2:16" ht="12.75">
      <c r="B65" s="54" t="s">
        <v>33</v>
      </c>
      <c r="C65" s="49"/>
      <c r="D65" s="58"/>
      <c r="E65" s="58">
        <v>1</v>
      </c>
      <c r="F65" s="58"/>
      <c r="G65" s="58"/>
      <c r="H65" s="50">
        <v>1</v>
      </c>
      <c r="P65" t="s">
        <v>104</v>
      </c>
    </row>
    <row r="66" spans="2:16" ht="12.75">
      <c r="B66" s="54" t="s">
        <v>40</v>
      </c>
      <c r="C66" s="49"/>
      <c r="D66" s="58"/>
      <c r="E66" s="58"/>
      <c r="F66" s="58">
        <v>1</v>
      </c>
      <c r="G66" s="58"/>
      <c r="H66" s="50">
        <v>1</v>
      </c>
      <c r="P66" t="s">
        <v>105</v>
      </c>
    </row>
    <row r="67" spans="2:16" ht="12.75">
      <c r="B67" s="54" t="s">
        <v>41</v>
      </c>
      <c r="C67" s="49"/>
      <c r="D67" s="58"/>
      <c r="E67" s="58"/>
      <c r="F67" s="58">
        <v>1</v>
      </c>
      <c r="G67" s="58"/>
      <c r="H67" s="50">
        <v>1</v>
      </c>
      <c r="P67" t="s">
        <v>106</v>
      </c>
    </row>
    <row r="68" spans="2:16" ht="12.75">
      <c r="B68" s="54" t="s">
        <v>42</v>
      </c>
      <c r="C68" s="49"/>
      <c r="D68" s="58"/>
      <c r="E68" s="58"/>
      <c r="F68" s="58">
        <v>1</v>
      </c>
      <c r="G68" s="58"/>
      <c r="H68" s="50">
        <v>1</v>
      </c>
    </row>
    <row r="69" spans="2:16" ht="12.75">
      <c r="B69" s="54" t="s">
        <v>35</v>
      </c>
      <c r="C69" s="49"/>
      <c r="D69" s="58"/>
      <c r="E69" s="58">
        <v>1</v>
      </c>
      <c r="F69" s="58"/>
      <c r="G69" s="58"/>
      <c r="H69" s="50">
        <v>1</v>
      </c>
    </row>
    <row r="70" spans="2:16" ht="12.75">
      <c r="B70" s="54" t="s">
        <v>11</v>
      </c>
      <c r="C70" s="49">
        <v>1</v>
      </c>
      <c r="D70" s="58"/>
      <c r="E70" s="58"/>
      <c r="F70" s="58"/>
      <c r="G70" s="58"/>
      <c r="H70" s="50">
        <v>1</v>
      </c>
    </row>
    <row r="71" spans="2:16" ht="12.75">
      <c r="B71" s="54" t="s">
        <v>50</v>
      </c>
      <c r="C71" s="49"/>
      <c r="D71" s="58"/>
      <c r="E71" s="58"/>
      <c r="F71" s="58"/>
      <c r="G71" s="58">
        <v>1</v>
      </c>
      <c r="H71" s="50">
        <v>1</v>
      </c>
    </row>
    <row r="72" spans="2:16" ht="12.75">
      <c r="B72" s="54" t="s">
        <v>38</v>
      </c>
      <c r="C72" s="49"/>
      <c r="D72" s="58"/>
      <c r="E72" s="58">
        <v>1</v>
      </c>
      <c r="F72" s="58"/>
      <c r="G72" s="58"/>
      <c r="H72" s="50">
        <v>1</v>
      </c>
    </row>
    <row r="73" spans="2:16" ht="12.75">
      <c r="B73" s="54" t="s">
        <v>44</v>
      </c>
      <c r="C73" s="49"/>
      <c r="D73" s="58"/>
      <c r="E73" s="58"/>
      <c r="F73" s="58">
        <v>1</v>
      </c>
      <c r="G73" s="58"/>
      <c r="H73" s="50">
        <v>1</v>
      </c>
    </row>
    <row r="74" spans="2:16" ht="12.75">
      <c r="B74" s="54" t="s">
        <v>27</v>
      </c>
      <c r="C74" s="49"/>
      <c r="D74" s="58">
        <v>1</v>
      </c>
      <c r="E74" s="58"/>
      <c r="F74" s="58"/>
      <c r="G74" s="58"/>
      <c r="H74" s="50">
        <v>1</v>
      </c>
    </row>
    <row r="75" spans="2:16" ht="12.75">
      <c r="B75" s="54" t="s">
        <v>14</v>
      </c>
      <c r="C75" s="49">
        <v>1</v>
      </c>
      <c r="D75" s="58"/>
      <c r="E75" s="58"/>
      <c r="F75" s="58"/>
      <c r="G75" s="58"/>
      <c r="H75" s="50">
        <v>1</v>
      </c>
    </row>
    <row r="76" spans="2:16" ht="12.75">
      <c r="B76" s="54" t="s">
        <v>43</v>
      </c>
      <c r="C76" s="49"/>
      <c r="D76" s="58"/>
      <c r="E76" s="58"/>
      <c r="F76" s="58">
        <v>1</v>
      </c>
      <c r="G76" s="58"/>
      <c r="H76" s="50">
        <v>1</v>
      </c>
    </row>
    <row r="77" spans="2:16" ht="12.75">
      <c r="B77" s="54" t="s">
        <v>13</v>
      </c>
      <c r="C77" s="49">
        <v>1</v>
      </c>
      <c r="D77" s="58"/>
      <c r="E77" s="58"/>
      <c r="F77" s="58"/>
      <c r="G77" s="58"/>
      <c r="H77" s="50">
        <v>1</v>
      </c>
      <c r="N77" t="s">
        <v>107</v>
      </c>
    </row>
    <row r="78" spans="2:16" ht="12.75">
      <c r="B78" s="54" t="s">
        <v>45</v>
      </c>
      <c r="C78" s="49"/>
      <c r="D78" s="58"/>
      <c r="E78" s="58"/>
      <c r="F78" s="58">
        <v>1</v>
      </c>
      <c r="G78" s="58"/>
      <c r="H78" s="50">
        <v>1</v>
      </c>
    </row>
    <row r="79" spans="2:16" ht="12.75">
      <c r="B79" s="54" t="s">
        <v>49</v>
      </c>
      <c r="C79" s="49"/>
      <c r="D79" s="58"/>
      <c r="E79" s="58"/>
      <c r="F79" s="58"/>
      <c r="G79" s="58">
        <v>1</v>
      </c>
      <c r="H79" s="50">
        <v>1</v>
      </c>
      <c r="N79" t="s">
        <v>108</v>
      </c>
      <c r="O79" t="s">
        <v>109</v>
      </c>
    </row>
    <row r="80" spans="2:16" ht="12.75">
      <c r="B80" s="54" t="s">
        <v>52</v>
      </c>
      <c r="C80" s="49"/>
      <c r="D80" s="58"/>
      <c r="E80" s="58"/>
      <c r="F80" s="58"/>
      <c r="G80" s="58">
        <v>1</v>
      </c>
      <c r="H80" s="50">
        <v>1</v>
      </c>
      <c r="N80" t="s">
        <v>110</v>
      </c>
      <c r="O80" t="s">
        <v>109</v>
      </c>
    </row>
    <row r="81" spans="2:15" ht="12.75">
      <c r="B81" s="54" t="s">
        <v>37</v>
      </c>
      <c r="C81" s="49"/>
      <c r="D81" s="58"/>
      <c r="E81" s="58">
        <v>1</v>
      </c>
      <c r="F81" s="58"/>
      <c r="G81" s="58"/>
      <c r="H81" s="50">
        <v>1</v>
      </c>
      <c r="O81" t="s">
        <v>109</v>
      </c>
    </row>
    <row r="82" spans="2:15" ht="12.75">
      <c r="B82" s="54" t="s">
        <v>16</v>
      </c>
      <c r="C82" s="49">
        <v>1</v>
      </c>
      <c r="D82" s="58"/>
      <c r="E82" s="58"/>
      <c r="F82" s="58"/>
      <c r="G82" s="58"/>
      <c r="H82" s="50">
        <v>1</v>
      </c>
    </row>
    <row r="83" spans="2:15" ht="12.75">
      <c r="B83" s="54" t="s">
        <v>23</v>
      </c>
      <c r="C83" s="49"/>
      <c r="D83" s="58">
        <v>1</v>
      </c>
      <c r="E83" s="58"/>
      <c r="F83" s="58"/>
      <c r="G83" s="58"/>
      <c r="H83" s="50">
        <v>1</v>
      </c>
    </row>
    <row r="84" spans="2:15" ht="12.75">
      <c r="B84" s="54" t="s">
        <v>51</v>
      </c>
      <c r="C84" s="49"/>
      <c r="D84" s="58"/>
      <c r="E84" s="58"/>
      <c r="F84" s="58"/>
      <c r="G84" s="58">
        <v>1</v>
      </c>
      <c r="H84" s="50">
        <v>1</v>
      </c>
    </row>
    <row r="85" spans="2:15" ht="12.75">
      <c r="B85" s="54" t="s">
        <v>53</v>
      </c>
      <c r="C85" s="49"/>
      <c r="D85" s="58"/>
      <c r="E85" s="58"/>
      <c r="F85" s="58"/>
      <c r="G85" s="58">
        <v>1</v>
      </c>
      <c r="H85" s="50">
        <v>1</v>
      </c>
    </row>
    <row r="86" spans="2:15" ht="12.75">
      <c r="B86" s="54" t="s">
        <v>26</v>
      </c>
      <c r="C86" s="49"/>
      <c r="D86" s="58">
        <v>1</v>
      </c>
      <c r="E86" s="58"/>
      <c r="F86" s="58"/>
      <c r="G86" s="58"/>
      <c r="H86" s="50">
        <v>1</v>
      </c>
    </row>
    <row r="87" spans="2:15" ht="12.75">
      <c r="B87" s="55" t="s">
        <v>29</v>
      </c>
      <c r="C87" s="49"/>
      <c r="D87" s="58">
        <v>1</v>
      </c>
      <c r="E87" s="58"/>
      <c r="F87" s="58"/>
      <c r="G87" s="58"/>
      <c r="H87" s="50">
        <v>1</v>
      </c>
    </row>
    <row r="88" spans="2:15">
      <c r="B88" s="46" t="s">
        <v>28</v>
      </c>
      <c r="C88" s="51">
        <v>6</v>
      </c>
      <c r="D88" s="59">
        <v>6</v>
      </c>
      <c r="E88" s="59">
        <v>8</v>
      </c>
      <c r="F88" s="59">
        <v>6</v>
      </c>
      <c r="G88" s="59">
        <v>7</v>
      </c>
      <c r="H88" s="52">
        <v>33</v>
      </c>
    </row>
  </sheetData>
  <conditionalFormatting pivot="1" sqref="C55:G87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C980-9492-8842-A1B5-BED3C3DC1D90}">
  <dimension ref="B4:U40"/>
  <sheetViews>
    <sheetView topLeftCell="G1" workbookViewId="0">
      <selection activeCell="I7" sqref="I7:I39"/>
    </sheetView>
  </sheetViews>
  <sheetFormatPr defaultColWidth="11.42578125" defaultRowHeight="12.95"/>
  <cols>
    <col min="3" max="3" width="13.85546875" customWidth="1"/>
    <col min="4" max="4" width="23.140625" customWidth="1"/>
    <col min="9" max="9" width="18.28515625" bestFit="1" customWidth="1"/>
    <col min="10" max="10" width="15.140625" bestFit="1" customWidth="1"/>
    <col min="11" max="11" width="14.140625" bestFit="1" customWidth="1"/>
    <col min="12" max="12" width="12.7109375" bestFit="1" customWidth="1"/>
    <col min="13" max="13" width="14.140625" bestFit="1" customWidth="1"/>
    <col min="14" max="14" width="12.28515625" bestFit="1" customWidth="1"/>
    <col min="15" max="15" width="14.140625" bestFit="1" customWidth="1"/>
    <col min="16" max="16" width="18.85546875" bestFit="1" customWidth="1"/>
    <col min="17" max="17" width="14.140625" bestFit="1" customWidth="1"/>
    <col min="18" max="18" width="12" bestFit="1" customWidth="1"/>
    <col min="19" max="19" width="14.140625" bestFit="1" customWidth="1"/>
    <col min="20" max="20" width="16.42578125" bestFit="1" customWidth="1"/>
    <col min="21" max="21" width="18.7109375" bestFit="1" customWidth="1"/>
  </cols>
  <sheetData>
    <row r="4" spans="2:21" ht="14.1">
      <c r="B4" s="30" t="s">
        <v>111</v>
      </c>
      <c r="C4" s="32" t="s">
        <v>112</v>
      </c>
      <c r="D4" s="33" t="s">
        <v>113</v>
      </c>
      <c r="E4" s="33" t="s">
        <v>114</v>
      </c>
      <c r="I4" s="10"/>
      <c r="J4" s="18" t="s">
        <v>89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 spans="2:21">
      <c r="B5" s="30" t="s">
        <v>0</v>
      </c>
      <c r="C5" s="34" t="s">
        <v>30</v>
      </c>
      <c r="D5" s="35" t="s">
        <v>37</v>
      </c>
      <c r="E5" s="35">
        <v>6</v>
      </c>
      <c r="I5" s="13"/>
      <c r="J5" s="10" t="s">
        <v>4</v>
      </c>
      <c r="K5" s="11"/>
      <c r="L5" s="10" t="s">
        <v>18</v>
      </c>
      <c r="M5" s="11"/>
      <c r="N5" s="10" t="s">
        <v>30</v>
      </c>
      <c r="O5" s="11"/>
      <c r="P5" s="10" t="s">
        <v>39</v>
      </c>
      <c r="Q5" s="11"/>
      <c r="R5" s="10" t="s">
        <v>46</v>
      </c>
      <c r="S5" s="11"/>
      <c r="T5" s="10" t="s">
        <v>115</v>
      </c>
      <c r="U5" s="19" t="s">
        <v>116</v>
      </c>
    </row>
    <row r="6" spans="2:21">
      <c r="B6" s="30" t="s">
        <v>0</v>
      </c>
      <c r="C6" s="36" t="s">
        <v>30</v>
      </c>
      <c r="D6" s="37" t="s">
        <v>35</v>
      </c>
      <c r="E6" s="37">
        <v>6</v>
      </c>
      <c r="I6" s="18" t="s">
        <v>2</v>
      </c>
      <c r="J6" s="10" t="s">
        <v>3</v>
      </c>
      <c r="K6" s="26" t="s">
        <v>88</v>
      </c>
      <c r="L6" s="10" t="s">
        <v>3</v>
      </c>
      <c r="M6" s="26" t="s">
        <v>88</v>
      </c>
      <c r="N6" s="10" t="s">
        <v>3</v>
      </c>
      <c r="O6" s="26" t="s">
        <v>88</v>
      </c>
      <c r="P6" s="10" t="s">
        <v>3</v>
      </c>
      <c r="Q6" s="26" t="s">
        <v>88</v>
      </c>
      <c r="R6" s="10" t="s">
        <v>3</v>
      </c>
      <c r="S6" s="26" t="s">
        <v>88</v>
      </c>
      <c r="T6" s="13"/>
      <c r="U6" s="22"/>
    </row>
    <row r="7" spans="2:21">
      <c r="B7" s="30" t="s">
        <v>0</v>
      </c>
      <c r="C7" s="34" t="s">
        <v>30</v>
      </c>
      <c r="D7" s="35" t="s">
        <v>31</v>
      </c>
      <c r="E7" s="35">
        <v>6</v>
      </c>
      <c r="I7" s="20" t="s">
        <v>32</v>
      </c>
      <c r="J7" s="10"/>
      <c r="K7" s="26"/>
      <c r="L7" s="10"/>
      <c r="M7" s="26"/>
      <c r="N7" s="10">
        <v>3</v>
      </c>
      <c r="O7" s="26">
        <v>1</v>
      </c>
      <c r="P7" s="10"/>
      <c r="Q7" s="26"/>
      <c r="R7" s="10"/>
      <c r="S7" s="26"/>
      <c r="T7" s="10">
        <v>3</v>
      </c>
      <c r="U7" s="19">
        <v>1</v>
      </c>
    </row>
    <row r="8" spans="2:21">
      <c r="B8" s="30" t="s">
        <v>0</v>
      </c>
      <c r="C8" s="36" t="s">
        <v>46</v>
      </c>
      <c r="D8" s="37" t="s">
        <v>47</v>
      </c>
      <c r="E8" s="37">
        <v>3</v>
      </c>
      <c r="I8" s="23" t="s">
        <v>31</v>
      </c>
      <c r="J8" s="13"/>
      <c r="K8" s="27"/>
      <c r="L8" s="13"/>
      <c r="M8" s="27"/>
      <c r="N8" s="13">
        <v>6</v>
      </c>
      <c r="O8" s="27">
        <v>1</v>
      </c>
      <c r="P8" s="13"/>
      <c r="Q8" s="27"/>
      <c r="R8" s="13"/>
      <c r="S8" s="27"/>
      <c r="T8" s="13">
        <v>6</v>
      </c>
      <c r="U8" s="22">
        <v>1</v>
      </c>
    </row>
    <row r="9" spans="2:21">
      <c r="B9" s="30" t="s">
        <v>0</v>
      </c>
      <c r="C9" s="34" t="s">
        <v>46</v>
      </c>
      <c r="D9" s="35" t="s">
        <v>51</v>
      </c>
      <c r="E9" s="35">
        <v>6</v>
      </c>
      <c r="I9" s="23" t="s">
        <v>20</v>
      </c>
      <c r="J9" s="13"/>
      <c r="K9" s="27"/>
      <c r="L9" s="13">
        <v>6</v>
      </c>
      <c r="M9" s="27">
        <v>1</v>
      </c>
      <c r="N9" s="13"/>
      <c r="O9" s="27"/>
      <c r="P9" s="13"/>
      <c r="Q9" s="27"/>
      <c r="R9" s="13"/>
      <c r="S9" s="27"/>
      <c r="T9" s="13">
        <v>6</v>
      </c>
      <c r="U9" s="22">
        <v>1</v>
      </c>
    </row>
    <row r="10" spans="2:21">
      <c r="B10" s="30" t="s">
        <v>0</v>
      </c>
      <c r="C10" s="36" t="s">
        <v>46</v>
      </c>
      <c r="D10" s="37" t="s">
        <v>49</v>
      </c>
      <c r="E10" s="37">
        <v>6</v>
      </c>
      <c r="I10" s="23" t="s">
        <v>48</v>
      </c>
      <c r="J10" s="13"/>
      <c r="K10" s="27"/>
      <c r="L10" s="13"/>
      <c r="M10" s="27"/>
      <c r="N10" s="13"/>
      <c r="O10" s="27"/>
      <c r="P10" s="13"/>
      <c r="Q10" s="27"/>
      <c r="R10" s="13">
        <v>15</v>
      </c>
      <c r="S10" s="27">
        <v>1</v>
      </c>
      <c r="T10" s="13">
        <v>15</v>
      </c>
      <c r="U10" s="22">
        <v>1</v>
      </c>
    </row>
    <row r="11" spans="2:21">
      <c r="B11" s="30" t="s">
        <v>0</v>
      </c>
      <c r="C11" s="34" t="s">
        <v>39</v>
      </c>
      <c r="D11" s="35" t="s">
        <v>42</v>
      </c>
      <c r="E11" s="35">
        <v>6</v>
      </c>
      <c r="I11" s="23" t="s">
        <v>24</v>
      </c>
      <c r="J11" s="13"/>
      <c r="K11" s="27"/>
      <c r="L11" s="13">
        <v>6</v>
      </c>
      <c r="M11" s="27">
        <v>1</v>
      </c>
      <c r="N11" s="13"/>
      <c r="O11" s="27"/>
      <c r="P11" s="13"/>
      <c r="Q11" s="27"/>
      <c r="R11" s="13"/>
      <c r="S11" s="27"/>
      <c r="T11" s="13">
        <v>6</v>
      </c>
      <c r="U11" s="22">
        <v>1</v>
      </c>
    </row>
    <row r="12" spans="2:21">
      <c r="B12" s="30" t="s">
        <v>0</v>
      </c>
      <c r="C12" s="36" t="s">
        <v>39</v>
      </c>
      <c r="D12" s="37" t="s">
        <v>40</v>
      </c>
      <c r="E12" s="37">
        <v>6</v>
      </c>
      <c r="I12" s="23" t="s">
        <v>7</v>
      </c>
      <c r="J12" s="13">
        <v>6</v>
      </c>
      <c r="K12" s="27">
        <v>1</v>
      </c>
      <c r="L12" s="13"/>
      <c r="M12" s="27"/>
      <c r="N12" s="13"/>
      <c r="O12" s="27"/>
      <c r="P12" s="13"/>
      <c r="Q12" s="27"/>
      <c r="R12" s="13"/>
      <c r="S12" s="27"/>
      <c r="T12" s="13">
        <v>6</v>
      </c>
      <c r="U12" s="22">
        <v>1</v>
      </c>
    </row>
    <row r="13" spans="2:21">
      <c r="B13" s="30" t="s">
        <v>0</v>
      </c>
      <c r="C13" s="34" t="s">
        <v>39</v>
      </c>
      <c r="D13" s="35" t="s">
        <v>44</v>
      </c>
      <c r="E13" s="35">
        <v>6</v>
      </c>
      <c r="I13" s="23" t="s">
        <v>10</v>
      </c>
      <c r="J13" s="13">
        <v>6</v>
      </c>
      <c r="K13" s="27">
        <v>1</v>
      </c>
      <c r="L13" s="13"/>
      <c r="M13" s="27"/>
      <c r="N13" s="13"/>
      <c r="O13" s="27"/>
      <c r="P13" s="13"/>
      <c r="Q13" s="27"/>
      <c r="R13" s="13"/>
      <c r="S13" s="27"/>
      <c r="T13" s="13">
        <v>6</v>
      </c>
      <c r="U13" s="22">
        <v>1</v>
      </c>
    </row>
    <row r="14" spans="2:21">
      <c r="B14" s="30" t="s">
        <v>0</v>
      </c>
      <c r="C14" s="36" t="s">
        <v>18</v>
      </c>
      <c r="D14" s="37" t="s">
        <v>24</v>
      </c>
      <c r="E14" s="37">
        <v>6</v>
      </c>
      <c r="I14" s="23" t="s">
        <v>34</v>
      </c>
      <c r="J14" s="13"/>
      <c r="K14" s="27"/>
      <c r="L14" s="13"/>
      <c r="M14" s="27"/>
      <c r="N14" s="13">
        <v>6</v>
      </c>
      <c r="O14" s="27">
        <v>1</v>
      </c>
      <c r="P14" s="13"/>
      <c r="Q14" s="27"/>
      <c r="R14" s="13"/>
      <c r="S14" s="27"/>
      <c r="T14" s="13">
        <v>6</v>
      </c>
      <c r="U14" s="22">
        <v>1</v>
      </c>
    </row>
    <row r="15" spans="2:21">
      <c r="B15" s="30" t="s">
        <v>0</v>
      </c>
      <c r="C15" s="34" t="s">
        <v>18</v>
      </c>
      <c r="D15" s="35" t="s">
        <v>20</v>
      </c>
      <c r="E15" s="35">
        <v>6</v>
      </c>
      <c r="I15" s="23" t="s">
        <v>36</v>
      </c>
      <c r="J15" s="13"/>
      <c r="K15" s="27"/>
      <c r="L15" s="13"/>
      <c r="M15" s="27"/>
      <c r="N15" s="13">
        <v>15</v>
      </c>
      <c r="O15" s="27">
        <v>1</v>
      </c>
      <c r="P15" s="13"/>
      <c r="Q15" s="27"/>
      <c r="R15" s="13"/>
      <c r="S15" s="27"/>
      <c r="T15" s="13">
        <v>15</v>
      </c>
      <c r="U15" s="22">
        <v>1</v>
      </c>
    </row>
    <row r="16" spans="2:21">
      <c r="B16" s="30" t="s">
        <v>0</v>
      </c>
      <c r="C16" s="36" t="s">
        <v>18</v>
      </c>
      <c r="D16" s="37" t="s">
        <v>27</v>
      </c>
      <c r="E16" s="37">
        <v>3</v>
      </c>
      <c r="I16" s="23" t="s">
        <v>47</v>
      </c>
      <c r="J16" s="13"/>
      <c r="K16" s="27"/>
      <c r="L16" s="13"/>
      <c r="M16" s="27"/>
      <c r="N16" s="13"/>
      <c r="O16" s="27"/>
      <c r="P16" s="13"/>
      <c r="Q16" s="27"/>
      <c r="R16" s="13">
        <v>3</v>
      </c>
      <c r="S16" s="27">
        <v>1</v>
      </c>
      <c r="T16" s="13">
        <v>3</v>
      </c>
      <c r="U16" s="22">
        <v>1</v>
      </c>
    </row>
    <row r="17" spans="2:21">
      <c r="B17" s="30" t="s">
        <v>0</v>
      </c>
      <c r="C17" s="34" t="s">
        <v>4</v>
      </c>
      <c r="D17" s="35" t="s">
        <v>7</v>
      </c>
      <c r="E17" s="35">
        <v>6</v>
      </c>
      <c r="I17" s="23" t="s">
        <v>33</v>
      </c>
      <c r="J17" s="13"/>
      <c r="K17" s="27"/>
      <c r="L17" s="13"/>
      <c r="M17" s="27"/>
      <c r="N17" s="13">
        <v>15</v>
      </c>
      <c r="O17" s="27">
        <v>1</v>
      </c>
      <c r="P17" s="13"/>
      <c r="Q17" s="27"/>
      <c r="R17" s="13"/>
      <c r="S17" s="27"/>
      <c r="T17" s="13">
        <v>15</v>
      </c>
      <c r="U17" s="22">
        <v>1</v>
      </c>
    </row>
    <row r="18" spans="2:21">
      <c r="B18" s="30" t="s">
        <v>0</v>
      </c>
      <c r="C18" s="36" t="s">
        <v>4</v>
      </c>
      <c r="D18" s="37" t="s">
        <v>14</v>
      </c>
      <c r="E18" s="37">
        <v>6</v>
      </c>
      <c r="I18" s="23" t="s">
        <v>40</v>
      </c>
      <c r="J18" s="13"/>
      <c r="K18" s="27"/>
      <c r="L18" s="13"/>
      <c r="M18" s="27"/>
      <c r="N18" s="13"/>
      <c r="O18" s="27"/>
      <c r="P18" s="13">
        <v>6</v>
      </c>
      <c r="Q18" s="27">
        <v>1</v>
      </c>
      <c r="R18" s="13"/>
      <c r="S18" s="27"/>
      <c r="T18" s="13">
        <v>6</v>
      </c>
      <c r="U18" s="22">
        <v>1</v>
      </c>
    </row>
    <row r="19" spans="2:21">
      <c r="B19" s="30" t="s">
        <v>0</v>
      </c>
      <c r="C19" s="34" t="s">
        <v>4</v>
      </c>
      <c r="D19" s="35" t="s">
        <v>11</v>
      </c>
      <c r="E19" s="35">
        <v>6</v>
      </c>
      <c r="I19" s="23" t="s">
        <v>41</v>
      </c>
      <c r="J19" s="13"/>
      <c r="K19" s="27"/>
      <c r="L19" s="13"/>
      <c r="M19" s="27"/>
      <c r="N19" s="13"/>
      <c r="O19" s="27"/>
      <c r="P19" s="13">
        <v>3</v>
      </c>
      <c r="Q19" s="27">
        <v>1</v>
      </c>
      <c r="R19" s="13"/>
      <c r="S19" s="27"/>
      <c r="T19" s="13">
        <v>3</v>
      </c>
      <c r="U19" s="22">
        <v>1</v>
      </c>
    </row>
    <row r="20" spans="2:21">
      <c r="B20" s="30" t="s">
        <v>0</v>
      </c>
      <c r="C20" s="38" t="s">
        <v>30</v>
      </c>
      <c r="D20" s="39" t="s">
        <v>33</v>
      </c>
      <c r="E20" s="39">
        <v>15</v>
      </c>
      <c r="I20" s="23" t="s">
        <v>42</v>
      </c>
      <c r="J20" s="13"/>
      <c r="K20" s="27"/>
      <c r="L20" s="13"/>
      <c r="M20" s="27"/>
      <c r="N20" s="13"/>
      <c r="O20" s="27"/>
      <c r="P20" s="13">
        <v>6</v>
      </c>
      <c r="Q20" s="27">
        <v>1</v>
      </c>
      <c r="R20" s="13"/>
      <c r="S20" s="27"/>
      <c r="T20" s="13">
        <v>6</v>
      </c>
      <c r="U20" s="22">
        <v>1</v>
      </c>
    </row>
    <row r="21" spans="2:21">
      <c r="B21" s="30" t="s">
        <v>117</v>
      </c>
      <c r="C21" s="34" t="s">
        <v>30</v>
      </c>
      <c r="D21" s="35" t="s">
        <v>32</v>
      </c>
      <c r="E21" s="35">
        <v>3</v>
      </c>
      <c r="I21" s="23" t="s">
        <v>35</v>
      </c>
      <c r="J21" s="13"/>
      <c r="K21" s="27"/>
      <c r="L21" s="13"/>
      <c r="M21" s="27"/>
      <c r="N21" s="13">
        <v>6</v>
      </c>
      <c r="O21" s="27">
        <v>1</v>
      </c>
      <c r="P21" s="13"/>
      <c r="Q21" s="27"/>
      <c r="R21" s="13"/>
      <c r="S21" s="27"/>
      <c r="T21" s="13">
        <v>6</v>
      </c>
      <c r="U21" s="22">
        <v>1</v>
      </c>
    </row>
    <row r="22" spans="2:21">
      <c r="B22" s="30" t="s">
        <v>117</v>
      </c>
      <c r="C22" s="36" t="s">
        <v>30</v>
      </c>
      <c r="D22" s="37" t="s">
        <v>38</v>
      </c>
      <c r="E22" s="37">
        <v>6</v>
      </c>
      <c r="I22" s="23" t="s">
        <v>11</v>
      </c>
      <c r="J22" s="13">
        <v>6</v>
      </c>
      <c r="K22" s="27">
        <v>1</v>
      </c>
      <c r="L22" s="13"/>
      <c r="M22" s="27"/>
      <c r="N22" s="13"/>
      <c r="O22" s="27"/>
      <c r="P22" s="13"/>
      <c r="Q22" s="27"/>
      <c r="R22" s="13"/>
      <c r="S22" s="27"/>
      <c r="T22" s="13">
        <v>6</v>
      </c>
      <c r="U22" s="22">
        <v>1</v>
      </c>
    </row>
    <row r="23" spans="2:21">
      <c r="B23" s="30" t="s">
        <v>117</v>
      </c>
      <c r="C23" s="34" t="s">
        <v>30</v>
      </c>
      <c r="D23" s="35" t="s">
        <v>34</v>
      </c>
      <c r="E23" s="35">
        <v>6</v>
      </c>
      <c r="I23" s="23" t="s">
        <v>50</v>
      </c>
      <c r="J23" s="13"/>
      <c r="K23" s="27"/>
      <c r="L23" s="13"/>
      <c r="M23" s="27"/>
      <c r="N23" s="13"/>
      <c r="O23" s="27"/>
      <c r="P23" s="13"/>
      <c r="Q23" s="27"/>
      <c r="R23" s="13">
        <v>6</v>
      </c>
      <c r="S23" s="27">
        <v>1</v>
      </c>
      <c r="T23" s="13">
        <v>6</v>
      </c>
      <c r="U23" s="22">
        <v>1</v>
      </c>
    </row>
    <row r="24" spans="2:21">
      <c r="B24" s="30" t="s">
        <v>117</v>
      </c>
      <c r="C24" s="36" t="s">
        <v>46</v>
      </c>
      <c r="D24" s="37" t="s">
        <v>53</v>
      </c>
      <c r="E24" s="37">
        <v>3</v>
      </c>
      <c r="I24" s="23" t="s">
        <v>38</v>
      </c>
      <c r="J24" s="13"/>
      <c r="K24" s="27"/>
      <c r="L24" s="13"/>
      <c r="M24" s="27"/>
      <c r="N24" s="13">
        <v>6</v>
      </c>
      <c r="O24" s="27">
        <v>1</v>
      </c>
      <c r="P24" s="13"/>
      <c r="Q24" s="27"/>
      <c r="R24" s="13"/>
      <c r="S24" s="27"/>
      <c r="T24" s="13">
        <v>6</v>
      </c>
      <c r="U24" s="22">
        <v>1</v>
      </c>
    </row>
    <row r="25" spans="2:21">
      <c r="B25" s="30" t="s">
        <v>117</v>
      </c>
      <c r="C25" s="34" t="s">
        <v>46</v>
      </c>
      <c r="D25" s="35" t="s">
        <v>52</v>
      </c>
      <c r="E25" s="35">
        <v>6</v>
      </c>
      <c r="I25" s="23" t="s">
        <v>44</v>
      </c>
      <c r="J25" s="13"/>
      <c r="K25" s="27"/>
      <c r="L25" s="13"/>
      <c r="M25" s="27"/>
      <c r="N25" s="13"/>
      <c r="O25" s="27"/>
      <c r="P25" s="13">
        <v>6</v>
      </c>
      <c r="Q25" s="27">
        <v>1</v>
      </c>
      <c r="R25" s="13"/>
      <c r="S25" s="27"/>
      <c r="T25" s="13">
        <v>6</v>
      </c>
      <c r="U25" s="22">
        <v>1</v>
      </c>
    </row>
    <row r="26" spans="2:21">
      <c r="B26" s="30" t="s">
        <v>117</v>
      </c>
      <c r="C26" s="36" t="s">
        <v>46</v>
      </c>
      <c r="D26" s="37" t="s">
        <v>50</v>
      </c>
      <c r="E26" s="37">
        <v>6</v>
      </c>
      <c r="I26" s="23" t="s">
        <v>27</v>
      </c>
      <c r="J26" s="13"/>
      <c r="K26" s="27"/>
      <c r="L26" s="13">
        <v>3</v>
      </c>
      <c r="M26" s="27">
        <v>1</v>
      </c>
      <c r="N26" s="13"/>
      <c r="O26" s="27"/>
      <c r="P26" s="13"/>
      <c r="Q26" s="27"/>
      <c r="R26" s="13"/>
      <c r="S26" s="27"/>
      <c r="T26" s="13">
        <v>3</v>
      </c>
      <c r="U26" s="22">
        <v>1</v>
      </c>
    </row>
    <row r="27" spans="2:21">
      <c r="B27" s="30" t="s">
        <v>117</v>
      </c>
      <c r="C27" s="34" t="s">
        <v>39</v>
      </c>
      <c r="D27" s="35" t="s">
        <v>41</v>
      </c>
      <c r="E27" s="35">
        <v>3</v>
      </c>
      <c r="I27" s="23" t="s">
        <v>14</v>
      </c>
      <c r="J27" s="13">
        <v>6</v>
      </c>
      <c r="K27" s="27">
        <v>1</v>
      </c>
      <c r="L27" s="13"/>
      <c r="M27" s="27"/>
      <c r="N27" s="13"/>
      <c r="O27" s="27"/>
      <c r="P27" s="13"/>
      <c r="Q27" s="27"/>
      <c r="R27" s="13"/>
      <c r="S27" s="27"/>
      <c r="T27" s="13">
        <v>6</v>
      </c>
      <c r="U27" s="22">
        <v>1</v>
      </c>
    </row>
    <row r="28" spans="2:21">
      <c r="B28" s="30" t="s">
        <v>117</v>
      </c>
      <c r="C28" s="36" t="s">
        <v>39</v>
      </c>
      <c r="D28" s="37" t="s">
        <v>45</v>
      </c>
      <c r="E28" s="37">
        <v>6</v>
      </c>
      <c r="I28" s="23" t="s">
        <v>43</v>
      </c>
      <c r="J28" s="13"/>
      <c r="K28" s="27"/>
      <c r="L28" s="13"/>
      <c r="M28" s="27"/>
      <c r="N28" s="13"/>
      <c r="O28" s="27"/>
      <c r="P28" s="13">
        <v>6</v>
      </c>
      <c r="Q28" s="27">
        <v>1</v>
      </c>
      <c r="R28" s="13"/>
      <c r="S28" s="27"/>
      <c r="T28" s="13">
        <v>6</v>
      </c>
      <c r="U28" s="22">
        <v>1</v>
      </c>
    </row>
    <row r="29" spans="2:21">
      <c r="B29" s="30" t="s">
        <v>117</v>
      </c>
      <c r="C29" s="34" t="s">
        <v>39</v>
      </c>
      <c r="D29" s="35" t="s">
        <v>43</v>
      </c>
      <c r="E29" s="35">
        <v>6</v>
      </c>
      <c r="I29" s="23" t="s">
        <v>13</v>
      </c>
      <c r="J29" s="13">
        <v>3</v>
      </c>
      <c r="K29" s="27">
        <v>1</v>
      </c>
      <c r="L29" s="13"/>
      <c r="M29" s="27"/>
      <c r="N29" s="13"/>
      <c r="O29" s="27"/>
      <c r="P29" s="13"/>
      <c r="Q29" s="27"/>
      <c r="R29" s="13"/>
      <c r="S29" s="27"/>
      <c r="T29" s="13">
        <v>3</v>
      </c>
      <c r="U29" s="22">
        <v>1</v>
      </c>
    </row>
    <row r="30" spans="2:21">
      <c r="B30" s="30" t="s">
        <v>117</v>
      </c>
      <c r="C30" s="36" t="s">
        <v>18</v>
      </c>
      <c r="D30" s="37" t="s">
        <v>29</v>
      </c>
      <c r="E30" s="37">
        <v>6</v>
      </c>
      <c r="I30" s="23" t="s">
        <v>45</v>
      </c>
      <c r="J30" s="13"/>
      <c r="K30" s="27"/>
      <c r="L30" s="13"/>
      <c r="M30" s="27"/>
      <c r="N30" s="13"/>
      <c r="O30" s="27"/>
      <c r="P30" s="13">
        <v>6</v>
      </c>
      <c r="Q30" s="27">
        <v>1</v>
      </c>
      <c r="R30" s="13"/>
      <c r="S30" s="27"/>
      <c r="T30" s="13">
        <v>6</v>
      </c>
      <c r="U30" s="22">
        <v>1</v>
      </c>
    </row>
    <row r="31" spans="2:21">
      <c r="B31" s="30" t="s">
        <v>117</v>
      </c>
      <c r="C31" s="34" t="s">
        <v>18</v>
      </c>
      <c r="D31" s="35" t="s">
        <v>26</v>
      </c>
      <c r="E31" s="35">
        <v>6</v>
      </c>
      <c r="I31" s="23" t="s">
        <v>49</v>
      </c>
      <c r="J31" s="13"/>
      <c r="K31" s="27"/>
      <c r="L31" s="13"/>
      <c r="M31" s="27"/>
      <c r="N31" s="13"/>
      <c r="O31" s="27"/>
      <c r="P31" s="13"/>
      <c r="Q31" s="27"/>
      <c r="R31" s="13">
        <v>6</v>
      </c>
      <c r="S31" s="27">
        <v>1</v>
      </c>
      <c r="T31" s="13">
        <v>6</v>
      </c>
      <c r="U31" s="22">
        <v>1</v>
      </c>
    </row>
    <row r="32" spans="2:21">
      <c r="B32" s="30" t="s">
        <v>117</v>
      </c>
      <c r="C32" s="36" t="s">
        <v>18</v>
      </c>
      <c r="D32" s="37" t="s">
        <v>23</v>
      </c>
      <c r="E32" s="37">
        <v>3</v>
      </c>
      <c r="I32" s="23" t="s">
        <v>52</v>
      </c>
      <c r="J32" s="13"/>
      <c r="K32" s="27"/>
      <c r="L32" s="13"/>
      <c r="M32" s="27"/>
      <c r="N32" s="13"/>
      <c r="O32" s="27"/>
      <c r="P32" s="13"/>
      <c r="Q32" s="27"/>
      <c r="R32" s="13">
        <v>6</v>
      </c>
      <c r="S32" s="27">
        <v>1</v>
      </c>
      <c r="T32" s="13">
        <v>6</v>
      </c>
      <c r="U32" s="22">
        <v>1</v>
      </c>
    </row>
    <row r="33" spans="2:21">
      <c r="B33" s="30" t="s">
        <v>117</v>
      </c>
      <c r="C33" s="34" t="s">
        <v>4</v>
      </c>
      <c r="D33" s="35" t="s">
        <v>10</v>
      </c>
      <c r="E33" s="35">
        <v>6</v>
      </c>
      <c r="I33" s="23" t="s">
        <v>37</v>
      </c>
      <c r="J33" s="13"/>
      <c r="K33" s="27"/>
      <c r="L33" s="13"/>
      <c r="M33" s="27"/>
      <c r="N33" s="13">
        <v>6</v>
      </c>
      <c r="O33" s="27">
        <v>1</v>
      </c>
      <c r="P33" s="13"/>
      <c r="Q33" s="27"/>
      <c r="R33" s="13"/>
      <c r="S33" s="27"/>
      <c r="T33" s="13">
        <v>6</v>
      </c>
      <c r="U33" s="22">
        <v>1</v>
      </c>
    </row>
    <row r="34" spans="2:21">
      <c r="B34" s="30" t="s">
        <v>117</v>
      </c>
      <c r="C34" s="36" t="s">
        <v>4</v>
      </c>
      <c r="D34" s="37" t="s">
        <v>13</v>
      </c>
      <c r="E34" s="37">
        <v>3</v>
      </c>
      <c r="I34" s="23" t="s">
        <v>16</v>
      </c>
      <c r="J34" s="13">
        <v>6</v>
      </c>
      <c r="K34" s="27">
        <v>1</v>
      </c>
      <c r="L34" s="13"/>
      <c r="M34" s="27"/>
      <c r="N34" s="13"/>
      <c r="O34" s="27"/>
      <c r="P34" s="13"/>
      <c r="Q34" s="27"/>
      <c r="R34" s="13"/>
      <c r="S34" s="27"/>
      <c r="T34" s="13">
        <v>6</v>
      </c>
      <c r="U34" s="22">
        <v>1</v>
      </c>
    </row>
    <row r="35" spans="2:21">
      <c r="B35" s="30" t="s">
        <v>117</v>
      </c>
      <c r="C35" s="34" t="s">
        <v>4</v>
      </c>
      <c r="D35" s="35" t="s">
        <v>16</v>
      </c>
      <c r="E35" s="35">
        <v>6</v>
      </c>
      <c r="I35" s="23" t="s">
        <v>23</v>
      </c>
      <c r="J35" s="13"/>
      <c r="K35" s="27"/>
      <c r="L35" s="13">
        <v>3</v>
      </c>
      <c r="M35" s="27">
        <v>1</v>
      </c>
      <c r="N35" s="13"/>
      <c r="O35" s="27"/>
      <c r="P35" s="13"/>
      <c r="Q35" s="27"/>
      <c r="R35" s="13"/>
      <c r="S35" s="27"/>
      <c r="T35" s="13">
        <v>3</v>
      </c>
      <c r="U35" s="22">
        <v>1</v>
      </c>
    </row>
    <row r="36" spans="2:21">
      <c r="B36" s="30" t="s">
        <v>117</v>
      </c>
      <c r="C36" s="36" t="s">
        <v>30</v>
      </c>
      <c r="D36" s="37" t="s">
        <v>36</v>
      </c>
      <c r="E36" s="37">
        <v>15</v>
      </c>
      <c r="I36" s="23" t="s">
        <v>51</v>
      </c>
      <c r="J36" s="13"/>
      <c r="K36" s="27"/>
      <c r="L36" s="13"/>
      <c r="M36" s="27"/>
      <c r="N36" s="13"/>
      <c r="O36" s="27"/>
      <c r="P36" s="13"/>
      <c r="Q36" s="27"/>
      <c r="R36" s="13">
        <v>6</v>
      </c>
      <c r="S36" s="27">
        <v>1</v>
      </c>
      <c r="T36" s="13">
        <v>6</v>
      </c>
      <c r="U36" s="22">
        <v>1</v>
      </c>
    </row>
    <row r="37" spans="2:21">
      <c r="B37" s="30" t="s">
        <v>117</v>
      </c>
      <c r="C37" s="40" t="s">
        <v>46</v>
      </c>
      <c r="D37" s="41" t="s">
        <v>48</v>
      </c>
      <c r="E37" s="41">
        <v>15</v>
      </c>
      <c r="I37" s="23" t="s">
        <v>53</v>
      </c>
      <c r="J37" s="13"/>
      <c r="K37" s="27"/>
      <c r="L37" s="13"/>
      <c r="M37" s="27"/>
      <c r="N37" s="13"/>
      <c r="O37" s="27"/>
      <c r="P37" s="13"/>
      <c r="Q37" s="27"/>
      <c r="R37" s="13">
        <v>3</v>
      </c>
      <c r="S37" s="27">
        <v>1</v>
      </c>
      <c r="T37" s="13">
        <v>3</v>
      </c>
      <c r="U37" s="22">
        <v>1</v>
      </c>
    </row>
    <row r="38" spans="2:21">
      <c r="I38" s="23" t="s">
        <v>26</v>
      </c>
      <c r="J38" s="13"/>
      <c r="K38" s="27"/>
      <c r="L38" s="13">
        <v>6</v>
      </c>
      <c r="M38" s="27">
        <v>1</v>
      </c>
      <c r="N38" s="13"/>
      <c r="O38" s="27"/>
      <c r="P38" s="13"/>
      <c r="Q38" s="27"/>
      <c r="R38" s="13"/>
      <c r="S38" s="27"/>
      <c r="T38" s="13">
        <v>6</v>
      </c>
      <c r="U38" s="22">
        <v>1</v>
      </c>
    </row>
    <row r="39" spans="2:21">
      <c r="I39" s="23" t="s">
        <v>29</v>
      </c>
      <c r="J39" s="13"/>
      <c r="K39" s="27"/>
      <c r="L39" s="13">
        <v>6</v>
      </c>
      <c r="M39" s="27">
        <v>1</v>
      </c>
      <c r="N39" s="13"/>
      <c r="O39" s="27"/>
      <c r="P39" s="13"/>
      <c r="Q39" s="27"/>
      <c r="R39" s="13"/>
      <c r="S39" s="27"/>
      <c r="T39" s="13">
        <v>6</v>
      </c>
      <c r="U39" s="22">
        <v>1</v>
      </c>
    </row>
    <row r="40" spans="2:21">
      <c r="I40" s="24" t="s">
        <v>28</v>
      </c>
      <c r="J40" s="28">
        <v>33</v>
      </c>
      <c r="K40" s="29">
        <v>6</v>
      </c>
      <c r="L40" s="28">
        <v>30</v>
      </c>
      <c r="M40" s="29">
        <v>6</v>
      </c>
      <c r="N40" s="28">
        <v>63</v>
      </c>
      <c r="O40" s="29">
        <v>8</v>
      </c>
      <c r="P40" s="28">
        <v>33</v>
      </c>
      <c r="Q40" s="29">
        <v>6</v>
      </c>
      <c r="R40" s="28">
        <v>45</v>
      </c>
      <c r="S40" s="29">
        <v>7</v>
      </c>
      <c r="T40" s="28">
        <v>204</v>
      </c>
      <c r="U40" s="25">
        <v>33</v>
      </c>
    </row>
  </sheetData>
  <conditionalFormatting sqref="D5:D37">
    <cfRule type="duplicateValues" dxfId="19" priority="1"/>
  </conditionalFormatting>
  <dataValidations count="3">
    <dataValidation type="list" allowBlank="1" showErrorMessage="1" sqref="D10" xr:uid="{EE155ADC-79BF-AF40-838F-000BADF39445}">
      <formula1>"Basic Mechanics,Code Keeper,Conduct Creator,Data Logger,Duo Snatcher,Encourage Warrior,End Of The Road,Goal Scorer,Learn In Action,Master Plan,Memory Maker,Player Performance,Positve Voice,Prep Master,Skill Evaluation,Tactical Minds,Role Model"</formula1>
    </dataValidation>
    <dataValidation type="list" allowBlank="1" showErrorMessage="1" sqref="D5:D9 D11:D20" xr:uid="{8032A2E4-E9CC-A94E-9654-1AE7126965F0}">
      <formula1>"Basic Mechanics,Code Keeper,Conduct Creator,Data Logger,Duo Snatcher,Encourage Warrior,End Of The Road,Goal Scorer,Learn In Action,Master Plan,Memory Maker,Player Performance,Positve Voice,Prep Master,Skill Evaluation,Tactical Minds"</formula1>
    </dataValidation>
    <dataValidation type="list" allowBlank="1" showErrorMessage="1" sqref="C5:C37" xr:uid="{086153C6-3E29-404C-81CB-3A29CCD70C14}">
      <formula1>"Game Mastery,Teamwork,Personal Development,Esports Citizen,Digital skills"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D9EEB"/>
    <outlinePr summaryBelow="0" summaryRight="0"/>
  </sheetPr>
  <dimension ref="A1:H138"/>
  <sheetViews>
    <sheetView zoomScale="140" zoomScaleNormal="140" workbookViewId="0">
      <pane ySplit="1" topLeftCell="A2" activePane="bottomLeft" state="frozen"/>
      <selection pane="bottomLeft" activeCell="D22" sqref="D22"/>
    </sheetView>
  </sheetViews>
  <sheetFormatPr defaultColWidth="12.7109375" defaultRowHeight="15.75" customHeight="1"/>
  <cols>
    <col min="1" max="1" width="22.7109375" customWidth="1"/>
    <col min="2" max="2" width="20.42578125" customWidth="1"/>
    <col min="3" max="3" width="10.7109375" customWidth="1"/>
    <col min="4" max="4" width="68.140625" customWidth="1"/>
    <col min="5" max="6" width="22.42578125" customWidth="1"/>
    <col min="7" max="7" width="20.85546875" customWidth="1"/>
  </cols>
  <sheetData>
    <row r="1" spans="1:8" ht="22.5" customHeight="1">
      <c r="A1" s="1" t="s">
        <v>112</v>
      </c>
      <c r="B1" s="1" t="s">
        <v>113</v>
      </c>
      <c r="C1" s="1" t="s">
        <v>114</v>
      </c>
      <c r="D1" s="1" t="s">
        <v>118</v>
      </c>
      <c r="E1" s="1" t="s">
        <v>58</v>
      </c>
      <c r="F1" s="1" t="s">
        <v>62</v>
      </c>
      <c r="G1" s="1" t="s">
        <v>65</v>
      </c>
      <c r="H1" s="2" t="s">
        <v>119</v>
      </c>
    </row>
    <row r="2" spans="1:8" ht="22.5" customHeight="1">
      <c r="A2" s="3" t="s">
        <v>30</v>
      </c>
      <c r="B2" s="3" t="s">
        <v>37</v>
      </c>
      <c r="C2" s="3">
        <v>6</v>
      </c>
      <c r="D2" s="3" t="s">
        <v>120</v>
      </c>
      <c r="E2" s="3" t="s">
        <v>6</v>
      </c>
      <c r="F2" s="3" t="s">
        <v>21</v>
      </c>
      <c r="G2" s="3" t="s">
        <v>9</v>
      </c>
      <c r="H2" s="2" t="s">
        <v>5</v>
      </c>
    </row>
    <row r="3" spans="1:8" ht="22.5" customHeight="1">
      <c r="A3" s="3" t="s">
        <v>30</v>
      </c>
      <c r="B3" s="3" t="s">
        <v>35</v>
      </c>
      <c r="C3" s="3">
        <v>6</v>
      </c>
      <c r="D3" s="3" t="s">
        <v>121</v>
      </c>
      <c r="E3" s="3" t="s">
        <v>17</v>
      </c>
      <c r="F3" s="3" t="s">
        <v>9</v>
      </c>
      <c r="G3" s="3" t="s">
        <v>19</v>
      </c>
      <c r="H3" s="2" t="s">
        <v>25</v>
      </c>
    </row>
    <row r="4" spans="1:8" ht="22.5" customHeight="1">
      <c r="A4" s="3" t="s">
        <v>30</v>
      </c>
      <c r="B4" s="3" t="s">
        <v>31</v>
      </c>
      <c r="C4" s="3">
        <v>6</v>
      </c>
      <c r="D4" s="3" t="s">
        <v>122</v>
      </c>
      <c r="E4" s="3" t="s">
        <v>17</v>
      </c>
      <c r="F4" s="3" t="s">
        <v>9</v>
      </c>
      <c r="G4" s="3" t="s">
        <v>19</v>
      </c>
      <c r="H4" s="2"/>
    </row>
    <row r="5" spans="1:8" ht="22.5" customHeight="1">
      <c r="A5" s="3" t="s">
        <v>46</v>
      </c>
      <c r="B5" s="3" t="s">
        <v>47</v>
      </c>
      <c r="C5" s="3">
        <v>3</v>
      </c>
      <c r="D5" s="3" t="s">
        <v>123</v>
      </c>
      <c r="E5" s="3" t="s">
        <v>25</v>
      </c>
      <c r="F5" s="3" t="s">
        <v>8</v>
      </c>
      <c r="G5" s="3" t="s">
        <v>6</v>
      </c>
      <c r="H5" s="2" t="s">
        <v>15</v>
      </c>
    </row>
    <row r="6" spans="1:8" ht="22.5" customHeight="1">
      <c r="A6" s="3" t="s">
        <v>46</v>
      </c>
      <c r="B6" s="3" t="s">
        <v>51</v>
      </c>
      <c r="C6" s="3">
        <v>6</v>
      </c>
      <c r="D6" s="3" t="s">
        <v>124</v>
      </c>
      <c r="E6" s="3" t="s">
        <v>5</v>
      </c>
      <c r="F6" s="3" t="s">
        <v>6</v>
      </c>
      <c r="G6" s="3" t="s">
        <v>25</v>
      </c>
      <c r="H6" s="2" t="s">
        <v>17</v>
      </c>
    </row>
    <row r="7" spans="1:8" ht="22.5" customHeight="1">
      <c r="A7" s="3" t="s">
        <v>46</v>
      </c>
      <c r="B7" s="3" t="s">
        <v>49</v>
      </c>
      <c r="C7" s="3">
        <v>6</v>
      </c>
      <c r="D7" s="3" t="s">
        <v>125</v>
      </c>
      <c r="E7" s="3" t="s">
        <v>25</v>
      </c>
      <c r="F7" s="3" t="s">
        <v>22</v>
      </c>
      <c r="G7" s="3" t="s">
        <v>6</v>
      </c>
      <c r="H7" s="2" t="s">
        <v>19</v>
      </c>
    </row>
    <row r="8" spans="1:8" ht="22.5" customHeight="1">
      <c r="A8" s="3" t="s">
        <v>39</v>
      </c>
      <c r="B8" s="3" t="s">
        <v>42</v>
      </c>
      <c r="C8" s="3">
        <v>6</v>
      </c>
      <c r="D8" s="3" t="s">
        <v>126</v>
      </c>
      <c r="E8" s="3" t="s">
        <v>9</v>
      </c>
      <c r="F8" s="3" t="s">
        <v>6</v>
      </c>
      <c r="G8" s="3" t="s">
        <v>15</v>
      </c>
      <c r="H8" s="2" t="s">
        <v>9</v>
      </c>
    </row>
    <row r="9" spans="1:8" ht="22.5" customHeight="1">
      <c r="A9" s="3" t="s">
        <v>39</v>
      </c>
      <c r="B9" s="3" t="s">
        <v>40</v>
      </c>
      <c r="C9" s="3">
        <v>6</v>
      </c>
      <c r="D9" s="3" t="s">
        <v>127</v>
      </c>
      <c r="E9" s="3" t="s">
        <v>21</v>
      </c>
      <c r="F9" s="3" t="s">
        <v>6</v>
      </c>
      <c r="G9" s="3" t="s">
        <v>22</v>
      </c>
      <c r="H9" s="2" t="s">
        <v>8</v>
      </c>
    </row>
    <row r="10" spans="1:8" ht="22.5" customHeight="1">
      <c r="A10" s="3" t="s">
        <v>39</v>
      </c>
      <c r="B10" s="3" t="s">
        <v>44</v>
      </c>
      <c r="C10" s="3">
        <v>6</v>
      </c>
      <c r="D10" s="4" t="s">
        <v>128</v>
      </c>
      <c r="E10" s="3" t="s">
        <v>6</v>
      </c>
      <c r="F10" s="3" t="s">
        <v>21</v>
      </c>
      <c r="G10" s="3" t="s">
        <v>22</v>
      </c>
      <c r="H10" s="2" t="s">
        <v>6</v>
      </c>
    </row>
    <row r="11" spans="1:8" ht="22.5" customHeight="1">
      <c r="A11" s="3" t="s">
        <v>18</v>
      </c>
      <c r="B11" s="3" t="s">
        <v>24</v>
      </c>
      <c r="C11" s="3">
        <v>6</v>
      </c>
      <c r="D11" s="3" t="s">
        <v>129</v>
      </c>
      <c r="E11" s="3" t="s">
        <v>25</v>
      </c>
      <c r="F11" s="3" t="s">
        <v>21</v>
      </c>
      <c r="G11" s="3" t="s">
        <v>19</v>
      </c>
      <c r="H11" s="2" t="s">
        <v>22</v>
      </c>
    </row>
    <row r="12" spans="1:8" ht="22.5" customHeight="1">
      <c r="A12" s="3" t="s">
        <v>18</v>
      </c>
      <c r="B12" s="3" t="s">
        <v>20</v>
      </c>
      <c r="C12" s="3">
        <v>6</v>
      </c>
      <c r="D12" s="3" t="s">
        <v>130</v>
      </c>
      <c r="E12" s="3" t="s">
        <v>22</v>
      </c>
      <c r="F12" s="3" t="s">
        <v>21</v>
      </c>
      <c r="G12" s="3" t="s">
        <v>6</v>
      </c>
      <c r="H12" s="2" t="s">
        <v>21</v>
      </c>
    </row>
    <row r="13" spans="1:8" ht="22.5" customHeight="1">
      <c r="A13" s="3" t="s">
        <v>18</v>
      </c>
      <c r="B13" s="3" t="s">
        <v>27</v>
      </c>
      <c r="C13" s="3">
        <v>3</v>
      </c>
      <c r="D13" s="4" t="s">
        <v>131</v>
      </c>
      <c r="E13" s="3" t="s">
        <v>25</v>
      </c>
      <c r="F13" s="3" t="s">
        <v>15</v>
      </c>
      <c r="G13" s="3" t="s">
        <v>6</v>
      </c>
      <c r="H13" s="2" t="s">
        <v>12</v>
      </c>
    </row>
    <row r="14" spans="1:8" ht="22.5" customHeight="1">
      <c r="A14" s="3" t="s">
        <v>4</v>
      </c>
      <c r="B14" s="3" t="s">
        <v>7</v>
      </c>
      <c r="C14" s="3">
        <v>6</v>
      </c>
      <c r="D14" s="4" t="s">
        <v>132</v>
      </c>
      <c r="E14" s="3" t="s">
        <v>17</v>
      </c>
      <c r="F14" s="3" t="s">
        <v>8</v>
      </c>
      <c r="G14" s="3" t="s">
        <v>12</v>
      </c>
    </row>
    <row r="15" spans="1:8" ht="22.5" customHeight="1">
      <c r="A15" s="3" t="s">
        <v>4</v>
      </c>
      <c r="B15" s="3" t="s">
        <v>14</v>
      </c>
      <c r="C15" s="3">
        <v>6</v>
      </c>
      <c r="D15" s="3" t="s">
        <v>133</v>
      </c>
      <c r="E15" s="3" t="s">
        <v>17</v>
      </c>
      <c r="F15" s="3" t="s">
        <v>12</v>
      </c>
      <c r="G15" s="3" t="s">
        <v>9</v>
      </c>
    </row>
    <row r="16" spans="1:8" ht="22.5" customHeight="1">
      <c r="A16" s="3" t="s">
        <v>4</v>
      </c>
      <c r="B16" s="3" t="s">
        <v>11</v>
      </c>
      <c r="C16" s="3">
        <v>6</v>
      </c>
      <c r="D16" s="4" t="s">
        <v>134</v>
      </c>
      <c r="E16" s="3" t="s">
        <v>12</v>
      </c>
      <c r="F16" s="3" t="s">
        <v>17</v>
      </c>
      <c r="G16" s="3" t="s">
        <v>25</v>
      </c>
    </row>
    <row r="17" spans="1:7" ht="22.5" customHeight="1">
      <c r="A17" s="3" t="s">
        <v>30</v>
      </c>
      <c r="B17" s="3" t="s">
        <v>33</v>
      </c>
      <c r="C17" s="3">
        <v>15</v>
      </c>
      <c r="D17" s="3" t="s">
        <v>135</v>
      </c>
      <c r="E17" s="3" t="s">
        <v>12</v>
      </c>
      <c r="F17" s="3" t="s">
        <v>21</v>
      </c>
      <c r="G17" s="3" t="s">
        <v>6</v>
      </c>
    </row>
    <row r="18" spans="1:7" ht="12.95">
      <c r="B18" s="2"/>
    </row>
    <row r="19" spans="1:7" ht="12.95">
      <c r="D19" s="5"/>
    </row>
    <row r="20" spans="1:7" ht="12.95">
      <c r="D20" s="5"/>
    </row>
    <row r="21" spans="1:7" ht="12.95">
      <c r="D21" s="5"/>
    </row>
    <row r="22" spans="1:7" ht="12.95">
      <c r="D22" s="5"/>
    </row>
    <row r="23" spans="1:7" ht="12.95">
      <c r="D23" s="5"/>
    </row>
    <row r="24" spans="1:7" ht="12.95">
      <c r="D24" s="5"/>
    </row>
    <row r="25" spans="1:7" ht="12.95">
      <c r="D25" s="5"/>
    </row>
    <row r="26" spans="1:7" ht="12.95">
      <c r="D26" s="5"/>
    </row>
    <row r="27" spans="1:7" ht="12.95">
      <c r="D27" s="5"/>
    </row>
    <row r="28" spans="1:7" ht="12.95">
      <c r="D28" s="5"/>
    </row>
    <row r="29" spans="1:7" ht="12.95">
      <c r="D29" s="5"/>
    </row>
    <row r="30" spans="1:7" ht="12.95">
      <c r="D30" s="5"/>
    </row>
    <row r="31" spans="1:7" ht="12.95">
      <c r="D31" s="5"/>
    </row>
    <row r="32" spans="1:7" ht="12.95">
      <c r="D32" s="5"/>
    </row>
    <row r="33" spans="4:4" ht="12.95">
      <c r="D33" s="5"/>
    </row>
    <row r="34" spans="4:4" ht="12.95">
      <c r="D34" s="5"/>
    </row>
    <row r="35" spans="4:4" ht="12.95">
      <c r="D35" s="5"/>
    </row>
    <row r="36" spans="4:4" ht="12.95">
      <c r="D36" s="5"/>
    </row>
    <row r="37" spans="4:4" ht="12.95">
      <c r="D37" s="5"/>
    </row>
    <row r="38" spans="4:4" ht="12.95">
      <c r="D38" s="5"/>
    </row>
    <row r="39" spans="4:4" ht="12.95">
      <c r="D39" s="5"/>
    </row>
    <row r="40" spans="4:4" ht="12.95">
      <c r="D40" s="5"/>
    </row>
    <row r="41" spans="4:4" ht="12.95">
      <c r="D41" s="5"/>
    </row>
    <row r="42" spans="4:4" ht="12.95">
      <c r="D42" s="5"/>
    </row>
    <row r="43" spans="4:4" ht="12.95">
      <c r="D43" s="5"/>
    </row>
    <row r="44" spans="4:4" ht="12.95">
      <c r="D44" s="5"/>
    </row>
    <row r="45" spans="4:4" ht="12.95">
      <c r="D45" s="5"/>
    </row>
    <row r="46" spans="4:4" ht="12.95">
      <c r="D46" s="5"/>
    </row>
    <row r="47" spans="4:4" ht="12.95">
      <c r="D47" s="5"/>
    </row>
    <row r="48" spans="4:4" ht="12.95">
      <c r="D48" s="5"/>
    </row>
    <row r="49" spans="4:4" ht="12.95">
      <c r="D49" s="5"/>
    </row>
    <row r="50" spans="4:4" ht="12.95">
      <c r="D50" s="5"/>
    </row>
    <row r="51" spans="4:4" ht="12.95">
      <c r="D51" s="5"/>
    </row>
    <row r="52" spans="4:4" ht="12.95">
      <c r="D52" s="5"/>
    </row>
    <row r="53" spans="4:4" ht="12.95">
      <c r="D53" s="5"/>
    </row>
    <row r="54" spans="4:4" ht="12.95">
      <c r="D54" s="5"/>
    </row>
    <row r="55" spans="4:4" ht="12.95">
      <c r="D55" s="5"/>
    </row>
    <row r="56" spans="4:4" ht="12.95">
      <c r="D56" s="5"/>
    </row>
    <row r="57" spans="4:4" ht="12.95">
      <c r="D57" s="5"/>
    </row>
    <row r="58" spans="4:4" ht="12.95">
      <c r="D58" s="5"/>
    </row>
    <row r="59" spans="4:4" ht="12.95">
      <c r="D59" s="5"/>
    </row>
    <row r="60" spans="4:4" ht="12.95">
      <c r="D60" s="5"/>
    </row>
    <row r="61" spans="4:4" ht="12.95">
      <c r="D61" s="5"/>
    </row>
    <row r="62" spans="4:4" ht="12.95">
      <c r="D62" s="5"/>
    </row>
    <row r="63" spans="4:4" ht="12.95">
      <c r="D63" s="5"/>
    </row>
    <row r="64" spans="4:4" ht="12.95">
      <c r="D64" s="5"/>
    </row>
    <row r="65" spans="4:4" ht="12.95">
      <c r="D65" s="5"/>
    </row>
    <row r="66" spans="4:4" ht="12.95">
      <c r="D66" s="5"/>
    </row>
    <row r="67" spans="4:4" ht="12.95">
      <c r="D67" s="5"/>
    </row>
    <row r="68" spans="4:4" ht="12.95">
      <c r="D68" s="5"/>
    </row>
    <row r="69" spans="4:4" ht="12.95">
      <c r="D69" s="5"/>
    </row>
    <row r="70" spans="4:4" ht="12.95">
      <c r="D70" s="5"/>
    </row>
    <row r="71" spans="4:4" ht="12.95">
      <c r="D71" s="5"/>
    </row>
    <row r="72" spans="4:4" ht="12.95">
      <c r="D72" s="5"/>
    </row>
    <row r="73" spans="4:4" ht="12.95">
      <c r="D73" s="5"/>
    </row>
    <row r="74" spans="4:4" ht="12.95">
      <c r="D74" s="5"/>
    </row>
    <row r="75" spans="4:4" ht="12.95">
      <c r="D75" s="5"/>
    </row>
    <row r="76" spans="4:4" ht="12.95">
      <c r="D76" s="5"/>
    </row>
    <row r="77" spans="4:4" ht="12.95">
      <c r="D77" s="5"/>
    </row>
    <row r="78" spans="4:4" ht="12.95">
      <c r="D78" s="5"/>
    </row>
    <row r="79" spans="4:4" ht="12.95">
      <c r="D79" s="5"/>
    </row>
    <row r="80" spans="4:4" ht="12.95">
      <c r="D80" s="5"/>
    </row>
    <row r="81" spans="4:4" ht="12.95">
      <c r="D81" s="5"/>
    </row>
    <row r="82" spans="4:4" ht="12.95">
      <c r="D82" s="5"/>
    </row>
    <row r="83" spans="4:4" ht="12.95">
      <c r="D83" s="5"/>
    </row>
    <row r="84" spans="4:4" ht="12.95">
      <c r="D84" s="5"/>
    </row>
    <row r="85" spans="4:4" ht="12.95">
      <c r="D85" s="5"/>
    </row>
    <row r="86" spans="4:4" ht="12.95">
      <c r="D86" s="5"/>
    </row>
    <row r="87" spans="4:4" ht="12.95">
      <c r="D87" s="5"/>
    </row>
    <row r="88" spans="4:4" ht="12.95">
      <c r="D88" s="5"/>
    </row>
    <row r="89" spans="4:4" ht="12.95">
      <c r="D89" s="5"/>
    </row>
    <row r="90" spans="4:4" ht="12.95">
      <c r="D90" s="5"/>
    </row>
    <row r="91" spans="4:4" ht="12.95">
      <c r="D91" s="5"/>
    </row>
    <row r="92" spans="4:4" ht="12.95">
      <c r="D92" s="5"/>
    </row>
    <row r="93" spans="4:4" ht="12.95">
      <c r="D93" s="5"/>
    </row>
    <row r="94" spans="4:4" ht="12.95">
      <c r="D94" s="5"/>
    </row>
    <row r="95" spans="4:4" ht="12.95">
      <c r="D95" s="5"/>
    </row>
    <row r="96" spans="4:4" ht="12.95">
      <c r="D96" s="5"/>
    </row>
    <row r="97" spans="4:4" ht="12.95">
      <c r="D97" s="5"/>
    </row>
    <row r="98" spans="4:4" ht="12.95">
      <c r="D98" s="5"/>
    </row>
    <row r="99" spans="4:4" ht="12.95">
      <c r="D99" s="5"/>
    </row>
    <row r="100" spans="4:4" ht="12.95">
      <c r="D100" s="5"/>
    </row>
    <row r="101" spans="4:4" ht="12.95">
      <c r="D101" s="5"/>
    </row>
    <row r="102" spans="4:4" ht="12.95">
      <c r="D102" s="5"/>
    </row>
    <row r="103" spans="4:4" ht="12.95">
      <c r="D103" s="5"/>
    </row>
    <row r="104" spans="4:4" ht="12.95">
      <c r="D104" s="5"/>
    </row>
    <row r="105" spans="4:4" ht="12.95">
      <c r="D105" s="5"/>
    </row>
    <row r="106" spans="4:4" ht="12.95">
      <c r="D106" s="5"/>
    </row>
    <row r="107" spans="4:4" ht="12.95">
      <c r="D107" s="5"/>
    </row>
    <row r="108" spans="4:4" ht="12.95">
      <c r="D108" s="5"/>
    </row>
    <row r="109" spans="4:4" ht="12.95">
      <c r="D109" s="5"/>
    </row>
    <row r="110" spans="4:4" ht="12.95">
      <c r="D110" s="5"/>
    </row>
    <row r="111" spans="4:4" ht="12.95">
      <c r="D111" s="5"/>
    </row>
    <row r="112" spans="4:4" ht="12.95">
      <c r="D112" s="5"/>
    </row>
    <row r="113" spans="4:4" ht="12.95">
      <c r="D113" s="5"/>
    </row>
    <row r="114" spans="4:4" ht="12.95">
      <c r="D114" s="5"/>
    </row>
    <row r="115" spans="4:4" ht="12.95">
      <c r="D115" s="5"/>
    </row>
    <row r="116" spans="4:4" ht="12.95">
      <c r="D116" s="5"/>
    </row>
    <row r="117" spans="4:4" ht="12.95">
      <c r="D117" s="5"/>
    </row>
    <row r="118" spans="4:4" ht="12.95">
      <c r="D118" s="5"/>
    </row>
    <row r="119" spans="4:4" ht="12.95">
      <c r="D119" s="5"/>
    </row>
    <row r="120" spans="4:4" ht="12.95">
      <c r="D120" s="5"/>
    </row>
    <row r="121" spans="4:4" ht="12.95">
      <c r="D121" s="5"/>
    </row>
    <row r="122" spans="4:4" ht="12.95">
      <c r="D122" s="5"/>
    </row>
    <row r="123" spans="4:4" ht="12.95">
      <c r="D123" s="5"/>
    </row>
    <row r="124" spans="4:4" ht="12.95">
      <c r="D124" s="5"/>
    </row>
    <row r="125" spans="4:4" ht="12.95">
      <c r="D125" s="5"/>
    </row>
    <row r="126" spans="4:4" ht="12.95">
      <c r="D126" s="5"/>
    </row>
    <row r="127" spans="4:4" ht="12.95">
      <c r="D127" s="5"/>
    </row>
    <row r="128" spans="4:4" ht="12.95">
      <c r="D128" s="5"/>
    </row>
    <row r="129" spans="4:4" ht="12.95">
      <c r="D129" s="5"/>
    </row>
    <row r="130" spans="4:4" ht="12.95">
      <c r="D130" s="5"/>
    </row>
    <row r="131" spans="4:4" ht="12.95">
      <c r="D131" s="5"/>
    </row>
    <row r="132" spans="4:4" ht="12.95">
      <c r="D132" s="5"/>
    </row>
    <row r="133" spans="4:4" ht="12.95">
      <c r="D133" s="5"/>
    </row>
    <row r="134" spans="4:4" ht="12.95">
      <c r="D134" s="5"/>
    </row>
    <row r="135" spans="4:4" ht="12.95">
      <c r="D135" s="5"/>
    </row>
    <row r="136" spans="4:4" ht="12.95">
      <c r="D136" s="5"/>
    </row>
    <row r="137" spans="4:4" ht="12.95">
      <c r="D137" s="5"/>
    </row>
    <row r="138" spans="4:4" ht="12.95">
      <c r="D138" s="5"/>
    </row>
  </sheetData>
  <dataValidations count="4">
    <dataValidation type="list" allowBlank="1" showErrorMessage="1" sqref="E2:G17" xr:uid="{00000000-0002-0000-0000-000000000000}">
      <formula1>#REF!</formula1>
    </dataValidation>
    <dataValidation type="list" allowBlank="1" showErrorMessage="1" sqref="A2:A17" xr:uid="{00000000-0002-0000-0000-000001000000}">
      <formula1>"Game Mastery,Teamwork,Personal Development,Esports Citizen,Digital skills"</formula1>
    </dataValidation>
    <dataValidation type="list" allowBlank="1" showErrorMessage="1" sqref="B2:B6 B8:B18" xr:uid="{00000000-0002-0000-0000-000002000000}">
      <formula1>"Basic Mechanics,Code Keeper,Conduct Creator,Data Logger,Duo Snatcher,Encourage Warrior,End Of The Road,Goal Scorer,Learn In Action,Master Plan,Memory Maker,Player Performance,Positve Voice,Prep Master,Skill Evaluation,Tactical Minds"</formula1>
    </dataValidation>
    <dataValidation type="list" allowBlank="1" showErrorMessage="1" sqref="B7" xr:uid="{00000000-0002-0000-0000-000003000000}">
      <formula1>"Basic Mechanics,Code Keeper,Conduct Creator,Data Logger,Duo Snatcher,Encourage Warrior,End Of The Road,Goal Scorer,Learn In Action,Master Plan,Memory Maker,Player Performance,Positve Voice,Prep Master,Skill Evaluation,Tactical Minds,Role Model"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C78D8"/>
    <outlinePr summaryBelow="0" summaryRight="0"/>
  </sheetPr>
  <dimension ref="A1:H34"/>
  <sheetViews>
    <sheetView zoomScale="150" zoomScaleNormal="150" workbookViewId="0">
      <pane ySplit="1" topLeftCell="A2" activePane="bottomLeft" state="frozen"/>
      <selection pane="bottomLeft" activeCell="B2" sqref="B2:B13"/>
    </sheetView>
  </sheetViews>
  <sheetFormatPr defaultColWidth="12.7109375" defaultRowHeight="15.75" customHeight="1"/>
  <cols>
    <col min="1" max="1" width="15.140625" customWidth="1"/>
    <col min="2" max="2" width="24.5703125" customWidth="1"/>
    <col min="3" max="3" width="19" customWidth="1"/>
    <col min="4" max="4" width="21" customWidth="1"/>
    <col min="5" max="5" width="21.7109375" customWidth="1"/>
    <col min="8" max="8" width="25.7109375" customWidth="1"/>
  </cols>
  <sheetData>
    <row r="1" spans="1:5" ht="22.5" customHeight="1">
      <c r="A1" s="63" t="s">
        <v>136</v>
      </c>
      <c r="B1" s="64" t="s">
        <v>137</v>
      </c>
      <c r="C1" s="65" t="s">
        <v>138</v>
      </c>
      <c r="D1" s="65" t="s">
        <v>139</v>
      </c>
      <c r="E1" s="65" t="s">
        <v>140</v>
      </c>
    </row>
    <row r="2" spans="1:5" ht="22.5" customHeight="1">
      <c r="A2" s="66">
        <v>1</v>
      </c>
      <c r="B2" s="67" t="s">
        <v>141</v>
      </c>
      <c r="C2" s="68"/>
      <c r="D2" s="69"/>
      <c r="E2" s="69"/>
    </row>
    <row r="3" spans="1:5" ht="22.5" customHeight="1">
      <c r="A3" s="66">
        <v>2</v>
      </c>
      <c r="B3" s="67" t="s">
        <v>142</v>
      </c>
      <c r="C3" s="70" t="s">
        <v>24</v>
      </c>
      <c r="D3" s="66"/>
      <c r="E3" s="69"/>
    </row>
    <row r="4" spans="1:5" ht="22.5" customHeight="1">
      <c r="A4" s="66">
        <v>3</v>
      </c>
      <c r="B4" s="67" t="s">
        <v>143</v>
      </c>
      <c r="C4" s="70" t="s">
        <v>37</v>
      </c>
      <c r="D4" s="66"/>
      <c r="E4" s="69"/>
    </row>
    <row r="5" spans="1:5" ht="22.5" customHeight="1">
      <c r="A5" s="66">
        <v>4</v>
      </c>
      <c r="B5" s="67" t="s">
        <v>144</v>
      </c>
      <c r="C5" s="70" t="s">
        <v>37</v>
      </c>
      <c r="D5" s="66"/>
      <c r="E5" s="69"/>
    </row>
    <row r="6" spans="1:5" ht="22.5" customHeight="1">
      <c r="A6" s="66">
        <v>5</v>
      </c>
      <c r="B6" s="67" t="s">
        <v>145</v>
      </c>
      <c r="C6" s="70" t="s">
        <v>47</v>
      </c>
      <c r="D6" s="66"/>
      <c r="E6" s="69"/>
    </row>
    <row r="7" spans="1:5" ht="22.5" customHeight="1">
      <c r="A7" s="66">
        <v>6</v>
      </c>
      <c r="B7" s="67" t="s">
        <v>146</v>
      </c>
      <c r="C7" s="70" t="s">
        <v>52</v>
      </c>
      <c r="D7" s="66"/>
      <c r="E7" s="69"/>
    </row>
    <row r="8" spans="1:5" ht="22.5" customHeight="1">
      <c r="A8" s="66">
        <v>7</v>
      </c>
      <c r="B8" s="67" t="s">
        <v>147</v>
      </c>
      <c r="C8" s="70" t="s">
        <v>31</v>
      </c>
      <c r="D8" s="66"/>
      <c r="E8" s="69"/>
    </row>
    <row r="9" spans="1:5" ht="22.5" customHeight="1">
      <c r="A9" s="66">
        <v>8</v>
      </c>
      <c r="B9" s="67" t="s">
        <v>148</v>
      </c>
      <c r="C9" s="70" t="s">
        <v>35</v>
      </c>
      <c r="D9" s="66"/>
      <c r="E9" s="69"/>
    </row>
    <row r="10" spans="1:5" ht="22.5" customHeight="1">
      <c r="A10" s="66">
        <v>9</v>
      </c>
      <c r="B10" s="67" t="s">
        <v>149</v>
      </c>
      <c r="C10" s="70" t="s">
        <v>40</v>
      </c>
      <c r="D10" s="66"/>
      <c r="E10" s="69"/>
    </row>
    <row r="11" spans="1:5" ht="22.5" customHeight="1">
      <c r="A11" s="66">
        <v>10</v>
      </c>
      <c r="B11" s="67" t="s">
        <v>150</v>
      </c>
      <c r="C11" s="70" t="s">
        <v>7</v>
      </c>
      <c r="D11" s="66"/>
      <c r="E11" s="69"/>
    </row>
    <row r="12" spans="1:5" ht="22.5" customHeight="1">
      <c r="A12" s="66">
        <v>11</v>
      </c>
      <c r="B12" s="71" t="s">
        <v>151</v>
      </c>
      <c r="C12" s="70" t="s">
        <v>152</v>
      </c>
      <c r="D12" s="66"/>
      <c r="E12" s="69"/>
    </row>
    <row r="13" spans="1:5" ht="22.5" customHeight="1">
      <c r="A13" s="66">
        <v>12</v>
      </c>
      <c r="B13" s="66" t="s">
        <v>151</v>
      </c>
      <c r="C13" s="70" t="s">
        <v>152</v>
      </c>
      <c r="D13" s="66"/>
      <c r="E13" s="69"/>
    </row>
    <row r="14" spans="1:5" ht="12.95">
      <c r="A14" s="7"/>
      <c r="B14" s="7"/>
      <c r="C14" s="6"/>
      <c r="D14" s="7"/>
      <c r="E14" s="8"/>
    </row>
    <row r="15" spans="1:5" ht="12.95">
      <c r="A15" s="7"/>
      <c r="B15" s="7"/>
      <c r="C15" s="6"/>
      <c r="D15" s="7"/>
      <c r="E15" s="8"/>
    </row>
    <row r="16" spans="1:5" ht="12.95">
      <c r="A16" s="7"/>
      <c r="B16" s="7"/>
      <c r="C16" s="6"/>
      <c r="D16" s="7"/>
      <c r="E16" s="8"/>
    </row>
    <row r="17" spans="1:8" ht="12.95">
      <c r="A17" s="7"/>
      <c r="B17" s="7"/>
      <c r="C17" s="6"/>
      <c r="D17" s="7"/>
      <c r="E17" s="8"/>
    </row>
    <row r="18" spans="1:8" ht="12.75">
      <c r="A18" s="7"/>
      <c r="B18" s="7"/>
      <c r="C18" s="6"/>
      <c r="D18" s="7"/>
      <c r="E18" s="8"/>
      <c r="H18" s="70" t="s">
        <v>24</v>
      </c>
    </row>
    <row r="19" spans="1:8" ht="12.75">
      <c r="A19" s="7"/>
      <c r="B19" s="7"/>
      <c r="C19" s="6"/>
      <c r="D19" s="7"/>
      <c r="E19" s="8"/>
      <c r="H19" s="70" t="s">
        <v>37</v>
      </c>
    </row>
    <row r="20" spans="1:8" ht="12.75">
      <c r="A20" s="7"/>
      <c r="B20" s="6"/>
      <c r="C20" s="6"/>
      <c r="D20" s="7"/>
      <c r="E20" s="8"/>
      <c r="H20" s="70" t="s">
        <v>37</v>
      </c>
    </row>
    <row r="21" spans="1:8" ht="12.75">
      <c r="A21" s="7"/>
      <c r="B21" s="6"/>
      <c r="C21" s="6"/>
      <c r="D21" s="7"/>
      <c r="E21" s="8"/>
      <c r="H21" s="70" t="s">
        <v>47</v>
      </c>
    </row>
    <row r="22" spans="1:8" ht="12.75">
      <c r="A22" s="7"/>
      <c r="B22" s="6"/>
      <c r="C22" s="6"/>
      <c r="D22" s="7"/>
      <c r="E22" s="8"/>
      <c r="H22" s="70" t="s">
        <v>52</v>
      </c>
    </row>
    <row r="23" spans="1:8" ht="12.75">
      <c r="A23" s="7"/>
      <c r="B23" s="6"/>
      <c r="C23" s="6"/>
      <c r="D23" s="7"/>
      <c r="E23" s="8"/>
      <c r="H23" s="70" t="s">
        <v>31</v>
      </c>
    </row>
    <row r="24" spans="1:8" ht="12.75">
      <c r="A24" s="7"/>
      <c r="B24" s="6"/>
      <c r="C24" s="6"/>
      <c r="D24" s="7"/>
      <c r="E24" s="8"/>
      <c r="H24" s="70" t="s">
        <v>35</v>
      </c>
    </row>
    <row r="25" spans="1:8" ht="12.75">
      <c r="A25" s="7"/>
      <c r="B25" s="6"/>
      <c r="C25" s="6"/>
      <c r="D25" s="7"/>
      <c r="E25" s="8"/>
      <c r="H25" s="70" t="s">
        <v>40</v>
      </c>
    </row>
    <row r="26" spans="1:8" ht="12.75">
      <c r="A26" s="7"/>
      <c r="B26" s="7"/>
      <c r="C26" s="7"/>
      <c r="D26" s="7"/>
      <c r="E26" s="8"/>
      <c r="H26" s="70" t="s">
        <v>7</v>
      </c>
    </row>
    <row r="27" spans="1:8" ht="12.75">
      <c r="A27" s="7"/>
      <c r="B27" s="7"/>
      <c r="C27" s="7"/>
      <c r="D27" s="7"/>
      <c r="E27" s="8"/>
      <c r="H27" s="70" t="s">
        <v>152</v>
      </c>
    </row>
    <row r="28" spans="1:8" ht="12.75">
      <c r="A28" s="7"/>
      <c r="B28" s="7"/>
      <c r="C28" s="7"/>
      <c r="D28" s="7"/>
      <c r="H28" s="72" t="s">
        <v>152</v>
      </c>
    </row>
    <row r="29" spans="1:8" ht="12.95">
      <c r="A29" s="7"/>
      <c r="B29" s="7"/>
      <c r="C29" s="7"/>
      <c r="D29" s="7"/>
    </row>
    <row r="30" spans="1:8" ht="12.95">
      <c r="A30" s="7"/>
      <c r="B30" s="7"/>
      <c r="C30" s="7"/>
      <c r="D30" s="7"/>
    </row>
    <row r="31" spans="1:8" ht="12.95">
      <c r="A31" s="7"/>
      <c r="B31" s="7"/>
      <c r="C31" s="7"/>
      <c r="D31" s="7"/>
    </row>
    <row r="32" spans="1:8" ht="12.95">
      <c r="A32" s="7"/>
      <c r="B32" s="7"/>
      <c r="C32" s="7"/>
      <c r="D32" s="7"/>
    </row>
    <row r="33" spans="1:4" ht="12.95">
      <c r="A33" s="7"/>
      <c r="B33" s="7"/>
      <c r="C33" s="7"/>
      <c r="D33" s="7"/>
    </row>
    <row r="34" spans="1:4" ht="12.95">
      <c r="A34" s="7"/>
      <c r="B34" s="7"/>
      <c r="C34" s="7"/>
      <c r="D34" s="7"/>
    </row>
  </sheetData>
  <dataValidations count="2">
    <dataValidation type="list" allowBlank="1" showErrorMessage="1" sqref="C2:C13 H18:H28" xr:uid="{00000000-0002-0000-0100-000000000000}">
      <formula1>#REF!</formula1>
    </dataValidation>
    <dataValidation type="custom" allowBlank="1" showDropDown="1" sqref="A2:A13" xr:uid="{00000000-0002-0000-0100-000001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C78D8"/>
    <outlinePr summaryBelow="0" summaryRight="0"/>
  </sheetPr>
  <dimension ref="A2:S24"/>
  <sheetViews>
    <sheetView zoomScale="140" zoomScaleNormal="140" workbookViewId="0">
      <selection activeCell="B8" sqref="B8"/>
    </sheetView>
  </sheetViews>
  <sheetFormatPr defaultColWidth="12.7109375" defaultRowHeight="15.75" customHeight="1"/>
  <cols>
    <col min="1" max="1" width="22.7109375" customWidth="1"/>
    <col min="2" max="2" width="18.7109375" customWidth="1"/>
    <col min="3" max="3" width="10.85546875" customWidth="1"/>
  </cols>
  <sheetData>
    <row r="2" spans="1:19" ht="22.5" customHeight="1">
      <c r="A2" s="9" t="s">
        <v>153</v>
      </c>
      <c r="B2" s="9" t="s">
        <v>113</v>
      </c>
      <c r="C2" s="9" t="s">
        <v>114</v>
      </c>
      <c r="D2" s="9" t="s">
        <v>154</v>
      </c>
      <c r="E2" s="9" t="s">
        <v>155</v>
      </c>
      <c r="F2" s="9" t="s">
        <v>156</v>
      </c>
      <c r="G2" s="9" t="s">
        <v>157</v>
      </c>
      <c r="H2" s="9" t="s">
        <v>158</v>
      </c>
      <c r="I2" s="9" t="s">
        <v>159</v>
      </c>
      <c r="J2" s="9" t="s">
        <v>160</v>
      </c>
      <c r="K2" s="9" t="s">
        <v>161</v>
      </c>
      <c r="L2" s="9" t="s">
        <v>162</v>
      </c>
      <c r="M2" s="9" t="s">
        <v>163</v>
      </c>
      <c r="N2" s="9" t="s">
        <v>164</v>
      </c>
      <c r="O2" s="9" t="s">
        <v>165</v>
      </c>
      <c r="P2" s="9" t="s">
        <v>166</v>
      </c>
      <c r="Q2" s="9" t="s">
        <v>167</v>
      </c>
      <c r="R2" s="9" t="s">
        <v>168</v>
      </c>
      <c r="S2" s="9" t="s">
        <v>169</v>
      </c>
    </row>
    <row r="3" spans="1:19" ht="22.5" hidden="1" customHeight="1">
      <c r="A3" s="3" t="s">
        <v>30</v>
      </c>
      <c r="B3" s="3" t="s">
        <v>170</v>
      </c>
      <c r="C3" s="3"/>
      <c r="D3" s="3">
        <v>68</v>
      </c>
      <c r="E3" s="3">
        <v>42</v>
      </c>
      <c r="F3" s="3">
        <v>12</v>
      </c>
      <c r="G3" s="3">
        <v>35</v>
      </c>
      <c r="H3" s="3">
        <v>20</v>
      </c>
      <c r="I3" s="3">
        <v>19</v>
      </c>
      <c r="J3" s="3">
        <v>62</v>
      </c>
      <c r="K3" s="3">
        <v>60</v>
      </c>
      <c r="L3" s="3">
        <v>20</v>
      </c>
      <c r="M3" s="3">
        <v>52</v>
      </c>
      <c r="N3" s="3">
        <v>42</v>
      </c>
      <c r="O3" s="3">
        <v>76</v>
      </c>
      <c r="P3" s="3">
        <v>28</v>
      </c>
      <c r="Q3" s="3">
        <v>26</v>
      </c>
      <c r="R3" s="3">
        <v>44</v>
      </c>
      <c r="S3" s="3">
        <v>62</v>
      </c>
    </row>
    <row r="4" spans="1:19" ht="22.5" hidden="1" customHeight="1">
      <c r="A4" s="3" t="s">
        <v>46</v>
      </c>
      <c r="B4" s="3" t="s">
        <v>170</v>
      </c>
      <c r="C4" s="3"/>
      <c r="D4" s="3">
        <v>56</v>
      </c>
      <c r="E4" s="3">
        <v>38</v>
      </c>
      <c r="F4" s="3">
        <v>10</v>
      </c>
      <c r="G4" s="3">
        <v>38</v>
      </c>
      <c r="H4" s="3">
        <v>27</v>
      </c>
      <c r="I4" s="3">
        <v>27</v>
      </c>
      <c r="J4" s="3">
        <v>10</v>
      </c>
      <c r="K4" s="3">
        <v>56</v>
      </c>
      <c r="L4" s="3">
        <v>24</v>
      </c>
      <c r="M4" s="3">
        <v>56</v>
      </c>
      <c r="N4" s="3">
        <v>56</v>
      </c>
      <c r="O4" s="3">
        <v>56</v>
      </c>
      <c r="P4" s="3">
        <v>27</v>
      </c>
      <c r="Q4" s="3">
        <v>34</v>
      </c>
      <c r="R4" s="3">
        <v>10</v>
      </c>
      <c r="S4" s="3">
        <v>38</v>
      </c>
    </row>
    <row r="5" spans="1:19" ht="22.5" hidden="1" customHeight="1">
      <c r="A5" s="3" t="s">
        <v>39</v>
      </c>
      <c r="B5" s="3" t="s">
        <v>170</v>
      </c>
      <c r="C5" s="3"/>
      <c r="D5" s="3">
        <v>45</v>
      </c>
      <c r="E5" s="3">
        <v>21</v>
      </c>
      <c r="F5" s="3"/>
      <c r="G5" s="3">
        <v>24</v>
      </c>
      <c r="H5" s="3">
        <v>21</v>
      </c>
      <c r="I5" s="3">
        <v>21</v>
      </c>
      <c r="J5" s="3">
        <v>48</v>
      </c>
      <c r="K5" s="3">
        <v>48</v>
      </c>
      <c r="L5" s="3">
        <v>21</v>
      </c>
      <c r="M5" s="3">
        <v>48</v>
      </c>
      <c r="N5" s="3">
        <v>48</v>
      </c>
      <c r="O5" s="3">
        <v>48</v>
      </c>
      <c r="P5" s="3">
        <v>21</v>
      </c>
      <c r="Q5" s="3">
        <v>19</v>
      </c>
      <c r="R5" s="3">
        <v>45</v>
      </c>
      <c r="S5" s="3">
        <v>21</v>
      </c>
    </row>
    <row r="6" spans="1:19" ht="22.5" hidden="1" customHeight="1">
      <c r="A6" s="3" t="s">
        <v>18</v>
      </c>
      <c r="B6" s="3" t="s">
        <v>170</v>
      </c>
      <c r="C6" s="3"/>
      <c r="D6" s="3">
        <v>28</v>
      </c>
      <c r="E6" s="3">
        <v>44</v>
      </c>
      <c r="F6" s="3">
        <v>8</v>
      </c>
      <c r="G6" s="3">
        <v>17</v>
      </c>
      <c r="H6" s="3">
        <v>17</v>
      </c>
      <c r="I6" s="3">
        <v>28</v>
      </c>
      <c r="J6" s="3">
        <v>44</v>
      </c>
      <c r="K6" s="3">
        <v>44</v>
      </c>
      <c r="L6" s="3">
        <v>19</v>
      </c>
      <c r="M6" s="3">
        <v>44</v>
      </c>
      <c r="N6" s="3">
        <v>28</v>
      </c>
      <c r="O6" s="3">
        <v>44</v>
      </c>
      <c r="P6" s="3">
        <v>28</v>
      </c>
      <c r="Q6" s="3">
        <v>8</v>
      </c>
      <c r="R6" s="3">
        <v>17</v>
      </c>
      <c r="S6" s="3">
        <v>28</v>
      </c>
    </row>
    <row r="7" spans="1:19" ht="22.5" hidden="1" customHeight="1">
      <c r="A7" s="3" t="s">
        <v>4</v>
      </c>
      <c r="B7" s="3" t="s">
        <v>170</v>
      </c>
      <c r="C7" s="3"/>
      <c r="D7" s="3">
        <v>54</v>
      </c>
      <c r="E7" s="3">
        <v>31</v>
      </c>
      <c r="F7" s="3">
        <v>9</v>
      </c>
      <c r="G7" s="3">
        <v>9</v>
      </c>
      <c r="H7" s="3">
        <v>9</v>
      </c>
      <c r="I7" s="3">
        <v>23</v>
      </c>
      <c r="J7" s="3">
        <v>31</v>
      </c>
      <c r="K7" s="3">
        <v>54</v>
      </c>
      <c r="L7" s="3">
        <v>23</v>
      </c>
      <c r="M7" s="3">
        <v>54</v>
      </c>
      <c r="N7" s="3">
        <v>27</v>
      </c>
      <c r="O7" s="3">
        <v>54</v>
      </c>
      <c r="P7" s="3">
        <v>23</v>
      </c>
      <c r="Q7" s="3">
        <v>31</v>
      </c>
      <c r="R7" s="3">
        <v>31</v>
      </c>
      <c r="S7" s="3">
        <v>54</v>
      </c>
    </row>
    <row r="8" spans="1:19" ht="22.5" customHeight="1">
      <c r="A8" s="3" t="s">
        <v>30</v>
      </c>
      <c r="B8" s="3" t="s">
        <v>37</v>
      </c>
      <c r="C8" s="3">
        <v>6</v>
      </c>
      <c r="D8" s="3">
        <v>6</v>
      </c>
      <c r="E8" s="3">
        <v>6</v>
      </c>
      <c r="F8" s="3">
        <v>6</v>
      </c>
      <c r="H8" s="3">
        <v>6</v>
      </c>
      <c r="I8" s="3">
        <v>6</v>
      </c>
      <c r="J8" s="3">
        <v>6</v>
      </c>
      <c r="L8" s="3">
        <v>6</v>
      </c>
      <c r="M8" s="3">
        <v>6</v>
      </c>
      <c r="N8" s="3">
        <v>6</v>
      </c>
      <c r="O8" s="3">
        <v>6</v>
      </c>
      <c r="P8" s="3">
        <v>6</v>
      </c>
      <c r="Q8" s="3">
        <v>6</v>
      </c>
      <c r="R8" s="3">
        <v>6</v>
      </c>
      <c r="S8" s="3">
        <v>6</v>
      </c>
    </row>
    <row r="9" spans="1:19" ht="22.5" hidden="1" customHeight="1">
      <c r="A9" s="3" t="s">
        <v>30</v>
      </c>
      <c r="B9" s="3" t="s">
        <v>35</v>
      </c>
      <c r="C9" s="3">
        <v>6</v>
      </c>
      <c r="D9" s="3">
        <v>6</v>
      </c>
      <c r="E9" s="3">
        <v>6</v>
      </c>
      <c r="F9" s="3">
        <v>6</v>
      </c>
      <c r="H9" s="3">
        <v>6</v>
      </c>
      <c r="I9" s="3">
        <v>6</v>
      </c>
      <c r="J9" s="3">
        <v>6</v>
      </c>
      <c r="K9" s="3">
        <v>6</v>
      </c>
      <c r="L9" s="3">
        <v>6</v>
      </c>
      <c r="M9" s="3">
        <v>6</v>
      </c>
      <c r="N9" s="3">
        <v>6</v>
      </c>
      <c r="O9" s="3">
        <v>6</v>
      </c>
      <c r="P9" s="3">
        <v>6</v>
      </c>
      <c r="Q9" s="3">
        <v>6</v>
      </c>
      <c r="R9" s="3">
        <v>6</v>
      </c>
      <c r="S9" s="3">
        <v>6</v>
      </c>
    </row>
    <row r="10" spans="1:19" ht="22.5" hidden="1" customHeight="1">
      <c r="A10" s="3" t="s">
        <v>30</v>
      </c>
      <c r="B10" s="3" t="s">
        <v>31</v>
      </c>
      <c r="C10" s="3">
        <v>6</v>
      </c>
      <c r="D10" s="3">
        <v>6</v>
      </c>
      <c r="E10" s="3">
        <v>6</v>
      </c>
      <c r="F10" s="3">
        <v>6</v>
      </c>
      <c r="G10" s="3">
        <v>6</v>
      </c>
      <c r="H10" s="3">
        <v>6</v>
      </c>
      <c r="I10" s="3">
        <v>6</v>
      </c>
      <c r="J10" s="3">
        <v>6</v>
      </c>
      <c r="K10" s="3">
        <v>6</v>
      </c>
      <c r="L10" s="3">
        <v>6</v>
      </c>
      <c r="M10" s="3">
        <v>6</v>
      </c>
      <c r="N10" s="3">
        <v>6</v>
      </c>
      <c r="O10" s="3">
        <v>6</v>
      </c>
      <c r="P10" s="3">
        <v>6</v>
      </c>
      <c r="Q10" s="3">
        <v>6</v>
      </c>
      <c r="R10" s="3">
        <v>6</v>
      </c>
      <c r="S10" s="3">
        <v>6</v>
      </c>
    </row>
    <row r="11" spans="1:19" ht="22.5" hidden="1" customHeight="1">
      <c r="A11" s="3" t="s">
        <v>46</v>
      </c>
      <c r="B11" s="3" t="s">
        <v>47</v>
      </c>
      <c r="C11" s="3">
        <v>3</v>
      </c>
      <c r="D11" s="3">
        <v>3</v>
      </c>
      <c r="E11" s="3">
        <v>3</v>
      </c>
      <c r="F11" s="3">
        <v>3</v>
      </c>
      <c r="G11" s="3">
        <v>3</v>
      </c>
      <c r="H11" s="3">
        <v>3</v>
      </c>
      <c r="I11" s="3">
        <v>3</v>
      </c>
      <c r="J11" s="3">
        <v>3</v>
      </c>
      <c r="K11" s="3">
        <v>3</v>
      </c>
      <c r="L11" s="3">
        <v>3</v>
      </c>
      <c r="M11" s="3"/>
      <c r="N11" s="3"/>
      <c r="O11" s="3">
        <v>3</v>
      </c>
      <c r="P11" s="3"/>
      <c r="Q11" s="3">
        <v>3</v>
      </c>
      <c r="R11" s="3">
        <v>3</v>
      </c>
      <c r="S11" s="3">
        <v>3</v>
      </c>
    </row>
    <row r="12" spans="1:19" ht="22.5" hidden="1" customHeight="1">
      <c r="A12" s="3" t="s">
        <v>46</v>
      </c>
      <c r="B12" s="3" t="s">
        <v>51</v>
      </c>
      <c r="C12" s="3">
        <v>6</v>
      </c>
      <c r="D12" s="3">
        <v>6</v>
      </c>
      <c r="E12" s="3">
        <v>6</v>
      </c>
      <c r="F12" s="3">
        <v>6</v>
      </c>
      <c r="H12" s="3">
        <v>6</v>
      </c>
      <c r="J12" s="3">
        <v>6</v>
      </c>
      <c r="K12" s="3">
        <v>6</v>
      </c>
      <c r="L12" s="3"/>
      <c r="M12" s="3">
        <v>6</v>
      </c>
      <c r="N12" s="3">
        <v>6</v>
      </c>
      <c r="O12" s="3">
        <v>6</v>
      </c>
      <c r="P12" s="3">
        <v>6</v>
      </c>
      <c r="Q12" s="3"/>
      <c r="R12" s="3">
        <v>6</v>
      </c>
      <c r="S12" s="3">
        <v>6</v>
      </c>
    </row>
    <row r="13" spans="1:19" ht="22.5" hidden="1" customHeight="1">
      <c r="A13" s="3" t="s">
        <v>46</v>
      </c>
      <c r="B13" s="3" t="s">
        <v>52</v>
      </c>
      <c r="C13" s="3">
        <v>6</v>
      </c>
      <c r="D13" s="3">
        <v>6</v>
      </c>
      <c r="E13" s="3">
        <v>6</v>
      </c>
      <c r="F13" s="3">
        <v>6</v>
      </c>
      <c r="G13" s="3">
        <v>6</v>
      </c>
      <c r="H13" s="3">
        <v>6</v>
      </c>
      <c r="I13" s="3">
        <v>6</v>
      </c>
      <c r="J13" s="3">
        <v>6</v>
      </c>
      <c r="K13" s="3">
        <v>6</v>
      </c>
      <c r="L13" s="3">
        <v>6</v>
      </c>
      <c r="M13" s="3">
        <v>6</v>
      </c>
      <c r="N13" s="3">
        <v>6</v>
      </c>
      <c r="O13" s="3">
        <v>6</v>
      </c>
      <c r="P13" s="3">
        <v>6</v>
      </c>
      <c r="Q13" s="3">
        <v>6</v>
      </c>
      <c r="R13" s="3">
        <v>6</v>
      </c>
      <c r="S13" s="3">
        <v>6</v>
      </c>
    </row>
    <row r="14" spans="1:19" ht="22.5" hidden="1" customHeight="1">
      <c r="A14" s="3" t="s">
        <v>39</v>
      </c>
      <c r="B14" s="3" t="s">
        <v>42</v>
      </c>
      <c r="C14" s="3">
        <v>6</v>
      </c>
      <c r="L14" s="3"/>
      <c r="M14" s="3"/>
      <c r="N14" s="3"/>
      <c r="O14" s="3"/>
      <c r="P14" s="3"/>
      <c r="Q14" s="3"/>
      <c r="R14" s="3"/>
      <c r="S14" s="3"/>
    </row>
    <row r="15" spans="1:19" ht="22.5" hidden="1" customHeight="1">
      <c r="A15" s="3" t="s">
        <v>39</v>
      </c>
      <c r="B15" s="3" t="s">
        <v>40</v>
      </c>
      <c r="C15" s="3">
        <v>6</v>
      </c>
      <c r="E15" s="3">
        <v>6</v>
      </c>
      <c r="F15" s="3">
        <v>6</v>
      </c>
      <c r="H15" s="3">
        <v>6</v>
      </c>
      <c r="I15" s="3">
        <v>6</v>
      </c>
      <c r="J15" s="3">
        <v>6</v>
      </c>
      <c r="K15" s="3">
        <v>6</v>
      </c>
      <c r="L15" s="3"/>
      <c r="M15" s="3">
        <v>6</v>
      </c>
      <c r="N15" s="3">
        <v>6</v>
      </c>
      <c r="O15" s="3">
        <v>6</v>
      </c>
      <c r="P15" s="3">
        <v>6</v>
      </c>
      <c r="Q15" s="3">
        <v>6</v>
      </c>
      <c r="R15" s="3">
        <v>6</v>
      </c>
      <c r="S15" s="3">
        <v>6</v>
      </c>
    </row>
    <row r="16" spans="1:19" ht="22.5" hidden="1" customHeight="1">
      <c r="A16" s="3" t="s">
        <v>39</v>
      </c>
      <c r="B16" s="3" t="s">
        <v>44</v>
      </c>
      <c r="C16" s="3">
        <v>6</v>
      </c>
      <c r="L16" s="3"/>
      <c r="M16" s="3"/>
      <c r="N16" s="3"/>
      <c r="O16" s="3"/>
      <c r="P16" s="3"/>
      <c r="Q16" s="3"/>
      <c r="R16" s="3"/>
      <c r="S16" s="3"/>
    </row>
    <row r="17" spans="1:19" ht="22.5" hidden="1" customHeight="1">
      <c r="A17" s="3" t="s">
        <v>18</v>
      </c>
      <c r="B17" s="3" t="s">
        <v>24</v>
      </c>
      <c r="C17" s="3">
        <v>6</v>
      </c>
      <c r="D17" s="3">
        <v>6</v>
      </c>
      <c r="E17" s="3">
        <v>6</v>
      </c>
      <c r="F17" s="3">
        <v>6</v>
      </c>
      <c r="G17" s="3">
        <v>6</v>
      </c>
      <c r="H17" s="3">
        <v>6</v>
      </c>
      <c r="I17" s="3">
        <v>6</v>
      </c>
      <c r="J17" s="3">
        <v>6</v>
      </c>
      <c r="K17" s="3">
        <v>6</v>
      </c>
      <c r="L17" s="3"/>
      <c r="M17" s="3">
        <v>6</v>
      </c>
      <c r="N17" s="3">
        <v>6</v>
      </c>
      <c r="O17" s="3">
        <v>6</v>
      </c>
      <c r="P17" s="3">
        <v>6</v>
      </c>
      <c r="Q17" s="3">
        <v>6</v>
      </c>
      <c r="R17" s="3"/>
      <c r="S17" s="3">
        <v>6</v>
      </c>
    </row>
    <row r="18" spans="1:19" ht="22.5" hidden="1" customHeight="1">
      <c r="A18" s="3" t="s">
        <v>18</v>
      </c>
      <c r="B18" s="3" t="s">
        <v>20</v>
      </c>
      <c r="C18" s="3">
        <v>6</v>
      </c>
      <c r="E18" s="3">
        <v>6</v>
      </c>
      <c r="G18" s="3">
        <v>6</v>
      </c>
      <c r="I18" s="3">
        <v>6</v>
      </c>
      <c r="J18" s="3">
        <v>6</v>
      </c>
      <c r="L18" s="3"/>
      <c r="M18" s="3"/>
      <c r="N18" s="3"/>
      <c r="O18" s="3"/>
      <c r="P18" s="3">
        <v>6</v>
      </c>
      <c r="Q18" s="3">
        <v>6</v>
      </c>
      <c r="R18" s="3"/>
      <c r="S18" s="3"/>
    </row>
    <row r="19" spans="1:19" ht="22.5" hidden="1" customHeight="1">
      <c r="A19" s="3" t="s">
        <v>18</v>
      </c>
      <c r="B19" s="3" t="s">
        <v>171</v>
      </c>
      <c r="C19" s="3">
        <v>3</v>
      </c>
      <c r="E19" s="3">
        <v>3</v>
      </c>
      <c r="G19" s="3">
        <v>3</v>
      </c>
      <c r="I19" s="3">
        <v>3</v>
      </c>
      <c r="J19" s="3">
        <v>3</v>
      </c>
      <c r="L19" s="3"/>
      <c r="M19" s="3"/>
      <c r="N19" s="3"/>
      <c r="O19" s="3">
        <v>3</v>
      </c>
      <c r="P19" s="3">
        <v>3</v>
      </c>
      <c r="Q19" s="3">
        <v>3</v>
      </c>
      <c r="R19" s="3">
        <v>3</v>
      </c>
      <c r="S19" s="3"/>
    </row>
    <row r="20" spans="1:19" ht="22.5" hidden="1" customHeight="1">
      <c r="A20" s="3" t="s">
        <v>4</v>
      </c>
      <c r="B20" s="3" t="s">
        <v>7</v>
      </c>
      <c r="C20" s="3">
        <v>3</v>
      </c>
      <c r="L20" s="3"/>
      <c r="M20" s="3"/>
      <c r="N20" s="3"/>
      <c r="O20" s="3"/>
      <c r="P20" s="3"/>
      <c r="Q20" s="3"/>
      <c r="R20" s="3"/>
      <c r="S20" s="3"/>
    </row>
    <row r="21" spans="1:19" ht="22.5" hidden="1" customHeight="1">
      <c r="A21" s="3" t="s">
        <v>4</v>
      </c>
      <c r="B21" s="3" t="s">
        <v>14</v>
      </c>
      <c r="C21" s="3">
        <v>6</v>
      </c>
      <c r="D21" s="3">
        <v>6</v>
      </c>
      <c r="F21" s="3">
        <v>6</v>
      </c>
      <c r="G21" s="3">
        <v>6</v>
      </c>
      <c r="H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/>
      <c r="R21" s="3">
        <v>6</v>
      </c>
      <c r="S21" s="3">
        <v>6</v>
      </c>
    </row>
    <row r="22" spans="1:19" ht="22.5" hidden="1" customHeight="1">
      <c r="A22" s="3" t="s">
        <v>4</v>
      </c>
      <c r="B22" s="3" t="s">
        <v>11</v>
      </c>
      <c r="C22" s="3">
        <v>6</v>
      </c>
      <c r="L22" s="3"/>
      <c r="M22" s="3"/>
      <c r="N22" s="3"/>
      <c r="O22" s="3"/>
      <c r="P22" s="3"/>
      <c r="Q22" s="3"/>
      <c r="R22" s="3"/>
      <c r="S22" s="3"/>
    </row>
    <row r="23" spans="1:19" ht="22.5" hidden="1" customHeight="1">
      <c r="A23" s="3" t="s">
        <v>30</v>
      </c>
      <c r="B23" s="3" t="s">
        <v>172</v>
      </c>
      <c r="C23" s="3">
        <v>15</v>
      </c>
      <c r="L23" s="3"/>
      <c r="M23" s="3"/>
      <c r="N23" s="3"/>
      <c r="O23" s="3"/>
      <c r="P23" s="3"/>
      <c r="Q23" s="3"/>
      <c r="R23" s="3"/>
      <c r="S23" s="3"/>
    </row>
    <row r="24" spans="1:19" ht="22.5" hidden="1" customHeight="1">
      <c r="A24" s="3" t="s">
        <v>173</v>
      </c>
      <c r="B24" s="3">
        <f>SUM(B8:B23)</f>
        <v>0</v>
      </c>
      <c r="C24" s="3"/>
      <c r="D24" s="3">
        <f t="shared" ref="D24:S24" si="0">SUM(E3:E23)</f>
        <v>230</v>
      </c>
      <c r="E24" s="3">
        <f t="shared" si="0"/>
        <v>90</v>
      </c>
      <c r="F24" s="3">
        <f t="shared" si="0"/>
        <v>159</v>
      </c>
      <c r="G24" s="3">
        <f t="shared" si="0"/>
        <v>145</v>
      </c>
      <c r="H24" s="3">
        <f t="shared" si="0"/>
        <v>166</v>
      </c>
      <c r="I24" s="3">
        <f t="shared" si="0"/>
        <v>255</v>
      </c>
      <c r="J24" s="3">
        <f t="shared" si="0"/>
        <v>307</v>
      </c>
      <c r="K24" s="3">
        <f t="shared" si="0"/>
        <v>140</v>
      </c>
      <c r="L24" s="3">
        <f t="shared" si="0"/>
        <v>302</v>
      </c>
      <c r="M24" s="3">
        <f t="shared" si="0"/>
        <v>249</v>
      </c>
      <c r="N24" s="3">
        <f t="shared" si="0"/>
        <v>332</v>
      </c>
      <c r="O24" s="3">
        <f t="shared" si="0"/>
        <v>184</v>
      </c>
      <c r="P24" s="3">
        <f t="shared" si="0"/>
        <v>166</v>
      </c>
      <c r="Q24" s="3">
        <f t="shared" si="0"/>
        <v>195</v>
      </c>
      <c r="R24" s="3">
        <f t="shared" si="0"/>
        <v>254</v>
      </c>
      <c r="S24" s="3">
        <f t="shared" si="0"/>
        <v>0</v>
      </c>
    </row>
  </sheetData>
  <dataValidations count="2">
    <dataValidation type="list" allowBlank="1" sqref="A3:A24" xr:uid="{00000000-0002-0000-0200-000000000000}">
      <formula1>"Game Mastery,Teamwork,Personal Development,Esports Citizen,Digital skills,Skill Evaluation,Master Plan,Basic Mechanics,End Of Road,Duo Snatcher,Tactical Minds,Role Player,Learn In Action,Goal Scorer,Player Performance,Conduct Creator,Code Keeper,Positive "&amp;"Voice,Data Logger,Prep Master,Memory Maker,End of  the Road"</formula1>
    </dataValidation>
    <dataValidation type="custom" allowBlank="1" showDropDown="1" sqref="C3:C24" xr:uid="{00000000-0002-0000-0200-000001000000}">
      <formula1>AND(ISNUMBER(C3),(NOT(OR(NOT(ISERROR(DATEVALUE(C3))), AND(ISNUMBER(C3), LEFT(CELL("format", C3))="D")))))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86E8"/>
    <outlinePr summaryBelow="0" summaryRight="0"/>
  </sheetPr>
  <dimension ref="A2:Q7"/>
  <sheetViews>
    <sheetView zoomScale="150" zoomScaleNormal="150" workbookViewId="0">
      <selection activeCell="B3" sqref="B3"/>
    </sheetView>
  </sheetViews>
  <sheetFormatPr defaultColWidth="12.7109375" defaultRowHeight="15.75" customHeight="1"/>
  <cols>
    <col min="1" max="1" width="18.85546875" customWidth="1"/>
  </cols>
  <sheetData>
    <row r="2" spans="1:17" ht="22.5" customHeight="1">
      <c r="A2" s="9" t="s">
        <v>174</v>
      </c>
      <c r="B2" s="9" t="s">
        <v>154</v>
      </c>
      <c r="C2" s="9" t="s">
        <v>155</v>
      </c>
      <c r="D2" s="9" t="s">
        <v>156</v>
      </c>
      <c r="E2" s="9" t="s">
        <v>157</v>
      </c>
      <c r="F2" s="9" t="s">
        <v>158</v>
      </c>
      <c r="G2" s="9" t="s">
        <v>159</v>
      </c>
      <c r="H2" s="9" t="s">
        <v>160</v>
      </c>
      <c r="I2" s="9" t="s">
        <v>161</v>
      </c>
      <c r="J2" s="9" t="s">
        <v>162</v>
      </c>
      <c r="K2" s="9" t="s">
        <v>163</v>
      </c>
      <c r="L2" s="9" t="s">
        <v>164</v>
      </c>
      <c r="M2" s="9" t="s">
        <v>165</v>
      </c>
      <c r="N2" s="9" t="s">
        <v>166</v>
      </c>
      <c r="O2" s="9" t="s">
        <v>167</v>
      </c>
      <c r="P2" s="9" t="s">
        <v>168</v>
      </c>
      <c r="Q2" s="9" t="s">
        <v>169</v>
      </c>
    </row>
    <row r="3" spans="1:17" ht="22.5" customHeight="1">
      <c r="A3" s="3" t="s">
        <v>175</v>
      </c>
      <c r="B3" s="3">
        <f>'RTD Module 1 - Points Tracker'!D3+'RTD Module 1 - Points Tracker'!D8+'RTD Module 1 - Points Tracker'!D9+'RTD Module 1 - Points Tracker'!D10+'RTD Module 1 - Points Tracker'!D23</f>
        <v>86</v>
      </c>
      <c r="C3" s="3">
        <f>'RTD Module 1 - Points Tracker'!E3+'RTD Module 1 - Points Tracker'!E8+'RTD Module 1 - Points Tracker'!E9+'RTD Module 1 - Points Tracker'!E10+'RTD Module 1 - Points Tracker'!E23</f>
        <v>60</v>
      </c>
      <c r="D3" s="3">
        <f>'RTD Module 1 - Points Tracker'!F3+'RTD Module 1 - Points Tracker'!F8+'RTD Module 1 - Points Tracker'!F9+'RTD Module 1 - Points Tracker'!F10+'RTD Module 1 - Points Tracker'!F23</f>
        <v>30</v>
      </c>
      <c r="E3" s="3">
        <f>'RTD Module 1 - Points Tracker'!G3+'RTD Module 1 - Points Tracker'!G8+'RTD Module 1 - Points Tracker'!G9+'RTD Module 1 - Points Tracker'!G10+'RTD Module 1 - Points Tracker'!G23</f>
        <v>41</v>
      </c>
      <c r="F3" s="3">
        <f>'RTD Module 1 - Points Tracker'!H3+'RTD Module 1 - Points Tracker'!H8+'RTD Module 1 - Points Tracker'!H9+'RTD Module 1 - Points Tracker'!H10+'RTD Module 1 - Points Tracker'!H23</f>
        <v>38</v>
      </c>
      <c r="G3" s="3">
        <f>'RTD Module 1 - Points Tracker'!I3+'RTD Module 1 - Points Tracker'!I8+'RTD Module 1 - Points Tracker'!I9+'RTD Module 1 - Points Tracker'!I10+'RTD Module 1 - Points Tracker'!I23</f>
        <v>37</v>
      </c>
      <c r="H3" s="3">
        <f>'RTD Module 1 - Points Tracker'!J3+'RTD Module 1 - Points Tracker'!J8+'RTD Module 1 - Points Tracker'!J9+'RTD Module 1 - Points Tracker'!J10+'RTD Module 1 - Points Tracker'!J23</f>
        <v>80</v>
      </c>
      <c r="I3" s="3">
        <f>'RTD Module 1 - Points Tracker'!K3+'RTD Module 1 - Points Tracker'!K8+'RTD Module 1 - Points Tracker'!K9+'RTD Module 1 - Points Tracker'!K10+'RTD Module 1 - Points Tracker'!K23</f>
        <v>72</v>
      </c>
      <c r="J3" s="3">
        <f>'RTD Module 1 - Points Tracker'!L3+'RTD Module 1 - Points Tracker'!L8+'RTD Module 1 - Points Tracker'!L9+'RTD Module 1 - Points Tracker'!L10+'RTD Module 1 - Points Tracker'!L23</f>
        <v>38</v>
      </c>
      <c r="K3" s="3">
        <f>'RTD Module 1 - Points Tracker'!M3+'RTD Module 1 - Points Tracker'!M8+'RTD Module 1 - Points Tracker'!M9+'RTD Module 1 - Points Tracker'!M10+'RTD Module 1 - Points Tracker'!M23</f>
        <v>70</v>
      </c>
      <c r="L3" s="3">
        <f>'RTD Module 1 - Points Tracker'!N3+'RTD Module 1 - Points Tracker'!N8+'RTD Module 1 - Points Tracker'!N9+'RTD Module 1 - Points Tracker'!N10+'RTD Module 1 - Points Tracker'!N23</f>
        <v>60</v>
      </c>
      <c r="M3" s="3">
        <f>'RTD Module 1 - Points Tracker'!O3+'RTD Module 1 - Points Tracker'!O8+'RTD Module 1 - Points Tracker'!O9+'RTD Module 1 - Points Tracker'!O10+'RTD Module 1 - Points Tracker'!O23</f>
        <v>94</v>
      </c>
      <c r="N3" s="3">
        <f>'RTD Module 1 - Points Tracker'!P3+'RTD Module 1 - Points Tracker'!P8+'RTD Module 1 - Points Tracker'!P9+'RTD Module 1 - Points Tracker'!P10+'RTD Module 1 - Points Tracker'!P23</f>
        <v>46</v>
      </c>
      <c r="O3" s="3">
        <f>'RTD Module 1 - Points Tracker'!Q3+'RTD Module 1 - Points Tracker'!Q8+'RTD Module 1 - Points Tracker'!Q9+'RTD Module 1 - Points Tracker'!Q10+'RTD Module 1 - Points Tracker'!Q23</f>
        <v>44</v>
      </c>
      <c r="P3" s="3">
        <f>'RTD Module 1 - Points Tracker'!R3+'RTD Module 1 - Points Tracker'!R8+'RTD Module 1 - Points Tracker'!R9+'RTD Module 1 - Points Tracker'!R10+'RTD Module 1 - Points Tracker'!R23</f>
        <v>62</v>
      </c>
      <c r="Q3" s="3">
        <f>'RTD Module 1 - Points Tracker'!S3+'RTD Module 1 - Points Tracker'!S8+'RTD Module 1 - Points Tracker'!S9+'RTD Module 1 - Points Tracker'!S10+'RTD Module 1 - Points Tracker'!S23</f>
        <v>80</v>
      </c>
    </row>
    <row r="4" spans="1:17" ht="22.5" customHeight="1">
      <c r="A4" s="3" t="s">
        <v>176</v>
      </c>
      <c r="B4" s="3">
        <f>'RTD Module 1 - Points Tracker'!D4+'RTD Module 1 - Points Tracker'!D11+'RTD Module 1 - Points Tracker'!D12+'RTD Module 1 - Points Tracker'!D13</f>
        <v>71</v>
      </c>
      <c r="C4" s="3">
        <f>'RTD Module 1 - Points Tracker'!E4+'RTD Module 1 - Points Tracker'!E11+'RTD Module 1 - Points Tracker'!E12+'RTD Module 1 - Points Tracker'!E13</f>
        <v>53</v>
      </c>
      <c r="D4" s="3">
        <f>'RTD Module 1 - Points Tracker'!F4+'RTD Module 1 - Points Tracker'!F11+'RTD Module 1 - Points Tracker'!F12+'RTD Module 1 - Points Tracker'!F13</f>
        <v>25</v>
      </c>
      <c r="E4" s="3">
        <f>'RTD Module 1 - Points Tracker'!G4+'RTD Module 1 - Points Tracker'!G11+'RTD Module 1 - Points Tracker'!G12+'RTD Module 1 - Points Tracker'!G13</f>
        <v>47</v>
      </c>
      <c r="F4" s="3">
        <f>'RTD Module 1 - Points Tracker'!H4+'RTD Module 1 - Points Tracker'!H11+'RTD Module 1 - Points Tracker'!H12+'RTD Module 1 - Points Tracker'!H13</f>
        <v>42</v>
      </c>
      <c r="G4" s="3">
        <f>'RTD Module 1 - Points Tracker'!I4+'RTD Module 1 - Points Tracker'!I11+'RTD Module 1 - Points Tracker'!I12+'RTD Module 1 - Points Tracker'!I13</f>
        <v>36</v>
      </c>
      <c r="H4" s="3">
        <f>'RTD Module 1 - Points Tracker'!J4+'RTD Module 1 - Points Tracker'!J11+'RTD Module 1 - Points Tracker'!J12+'RTD Module 1 - Points Tracker'!J13</f>
        <v>25</v>
      </c>
      <c r="I4" s="3">
        <f>'RTD Module 1 - Points Tracker'!K4+'RTD Module 1 - Points Tracker'!K11+'RTD Module 1 - Points Tracker'!K12+'RTD Module 1 - Points Tracker'!K13</f>
        <v>71</v>
      </c>
      <c r="J4" s="3">
        <f>'RTD Module 1 - Points Tracker'!L4+'RTD Module 1 - Points Tracker'!L11+'RTD Module 1 - Points Tracker'!L12+'RTD Module 1 - Points Tracker'!L13</f>
        <v>33</v>
      </c>
      <c r="K4" s="3">
        <f>'RTD Module 1 - Points Tracker'!M4+'RTD Module 1 - Points Tracker'!M11+'RTD Module 1 - Points Tracker'!M12+'RTD Module 1 - Points Tracker'!M13</f>
        <v>68</v>
      </c>
      <c r="L4" s="3">
        <f>'RTD Module 1 - Points Tracker'!N4+'RTD Module 1 - Points Tracker'!N11+'RTD Module 1 - Points Tracker'!N12+'RTD Module 1 - Points Tracker'!N13</f>
        <v>68</v>
      </c>
      <c r="M4" s="3">
        <f>'RTD Module 1 - Points Tracker'!O4+'RTD Module 1 - Points Tracker'!O11+'RTD Module 1 - Points Tracker'!O12+'RTD Module 1 - Points Tracker'!O13</f>
        <v>71</v>
      </c>
      <c r="N4" s="3">
        <f>'RTD Module 1 - Points Tracker'!P4+'RTD Module 1 - Points Tracker'!P11+'RTD Module 1 - Points Tracker'!P12+'RTD Module 1 - Points Tracker'!P13</f>
        <v>39</v>
      </c>
      <c r="O4" s="3">
        <f>'RTD Module 1 - Points Tracker'!Q4+'RTD Module 1 - Points Tracker'!Q11+'RTD Module 1 - Points Tracker'!Q12+'RTD Module 1 - Points Tracker'!Q13</f>
        <v>43</v>
      </c>
      <c r="P4" s="3">
        <f>'RTD Module 1 - Points Tracker'!R4+'RTD Module 1 - Points Tracker'!R11+'RTD Module 1 - Points Tracker'!R12+'RTD Module 1 - Points Tracker'!R13</f>
        <v>25</v>
      </c>
      <c r="Q4" s="3">
        <f>'RTD Module 1 - Points Tracker'!S4+'RTD Module 1 - Points Tracker'!S11+'RTD Module 1 - Points Tracker'!S12+'RTD Module 1 - Points Tracker'!S13</f>
        <v>53</v>
      </c>
    </row>
    <row r="5" spans="1:17" ht="22.5" customHeight="1">
      <c r="A5" s="3" t="s">
        <v>39</v>
      </c>
      <c r="B5" s="3">
        <f>'RTD Module 1 - Points Tracker'!D5+'RTD Module 1 - Points Tracker'!D14+'RTD Module 1 - Points Tracker'!D15+'RTD Module 1 - Points Tracker'!D16</f>
        <v>45</v>
      </c>
      <c r="C5" s="3">
        <f>'RTD Module 1 - Points Tracker'!E5+'RTD Module 1 - Points Tracker'!E14+'RTD Module 1 - Points Tracker'!E15+'RTD Module 1 - Points Tracker'!E16</f>
        <v>27</v>
      </c>
      <c r="D5" s="3">
        <f>'RTD Module 1 - Points Tracker'!F5+'RTD Module 1 - Points Tracker'!F14+'RTD Module 1 - Points Tracker'!F15+'RTD Module 1 - Points Tracker'!F16</f>
        <v>6</v>
      </c>
      <c r="E5" s="3">
        <f>'RTD Module 1 - Points Tracker'!G5+'RTD Module 1 - Points Tracker'!G14+'RTD Module 1 - Points Tracker'!G15+'RTD Module 1 - Points Tracker'!G16</f>
        <v>24</v>
      </c>
      <c r="F5" s="3">
        <f>'RTD Module 1 - Points Tracker'!H5+'RTD Module 1 - Points Tracker'!H14+'RTD Module 1 - Points Tracker'!H15+'RTD Module 1 - Points Tracker'!H16</f>
        <v>27</v>
      </c>
      <c r="G5" s="3">
        <f>'RTD Module 1 - Points Tracker'!I5+'RTD Module 1 - Points Tracker'!I14+'RTD Module 1 - Points Tracker'!I15+'RTD Module 1 - Points Tracker'!I16</f>
        <v>27</v>
      </c>
      <c r="H5" s="3">
        <f>'RTD Module 1 - Points Tracker'!J5+'RTD Module 1 - Points Tracker'!J14+'RTD Module 1 - Points Tracker'!J15+'RTD Module 1 - Points Tracker'!J16</f>
        <v>54</v>
      </c>
      <c r="I5" s="3">
        <f>'RTD Module 1 - Points Tracker'!K5+'RTD Module 1 - Points Tracker'!K14+'RTD Module 1 - Points Tracker'!K15+'RTD Module 1 - Points Tracker'!K16</f>
        <v>54</v>
      </c>
      <c r="J5" s="3">
        <f>'RTD Module 1 - Points Tracker'!L5+'RTD Module 1 - Points Tracker'!L14+'RTD Module 1 - Points Tracker'!L15+'RTD Module 1 - Points Tracker'!L16</f>
        <v>21</v>
      </c>
      <c r="K5" s="3">
        <f>'RTD Module 1 - Points Tracker'!M5+'RTD Module 1 - Points Tracker'!M14+'RTD Module 1 - Points Tracker'!M15+'RTD Module 1 - Points Tracker'!M16</f>
        <v>54</v>
      </c>
      <c r="L5" s="3">
        <f>'RTD Module 1 - Points Tracker'!N5+'RTD Module 1 - Points Tracker'!N14+'RTD Module 1 - Points Tracker'!N15+'RTD Module 1 - Points Tracker'!N16</f>
        <v>54</v>
      </c>
      <c r="M5" s="3">
        <f>'RTD Module 1 - Points Tracker'!O5+'RTD Module 1 - Points Tracker'!O14+'RTD Module 1 - Points Tracker'!O15+'RTD Module 1 - Points Tracker'!O16</f>
        <v>54</v>
      </c>
      <c r="N5" s="3">
        <f>'RTD Module 1 - Points Tracker'!P5+'RTD Module 1 - Points Tracker'!P14+'RTD Module 1 - Points Tracker'!P15+'RTD Module 1 - Points Tracker'!P16</f>
        <v>27</v>
      </c>
      <c r="O5" s="3">
        <f>'RTD Module 1 - Points Tracker'!Q5+'RTD Module 1 - Points Tracker'!Q14+'RTD Module 1 - Points Tracker'!Q15+'RTD Module 1 - Points Tracker'!Q16</f>
        <v>25</v>
      </c>
      <c r="P5" s="3">
        <f>'RTD Module 1 - Points Tracker'!R5+'RTD Module 1 - Points Tracker'!R14+'RTD Module 1 - Points Tracker'!R15+'RTD Module 1 - Points Tracker'!R16</f>
        <v>51</v>
      </c>
      <c r="Q5" s="3">
        <f>'RTD Module 1 - Points Tracker'!S5+'RTD Module 1 - Points Tracker'!S14+'RTD Module 1 - Points Tracker'!S15+'RTD Module 1 - Points Tracker'!S16</f>
        <v>27</v>
      </c>
    </row>
    <row r="6" spans="1:17" ht="22.5" customHeight="1">
      <c r="A6" s="3" t="s">
        <v>18</v>
      </c>
      <c r="B6" s="3">
        <f>'RTD Module 1 - Points Tracker'!D6+'RTD Module 1 - Points Tracker'!D17+'RTD Module 1 - Points Tracker'!D18+'RTD Module 1 - Points Tracker'!D19</f>
        <v>34</v>
      </c>
      <c r="C6" s="3">
        <f>'RTD Module 1 - Points Tracker'!E6+'RTD Module 1 - Points Tracker'!E17+'RTD Module 1 - Points Tracker'!E18+'RTD Module 1 - Points Tracker'!E19</f>
        <v>59</v>
      </c>
      <c r="D6" s="3">
        <f>'RTD Module 1 - Points Tracker'!F6+'RTD Module 1 - Points Tracker'!F17+'RTD Module 1 - Points Tracker'!F18+'RTD Module 1 - Points Tracker'!F19</f>
        <v>14</v>
      </c>
      <c r="E6" s="3">
        <f>'RTD Module 1 - Points Tracker'!G6+'RTD Module 1 - Points Tracker'!G17+'RTD Module 1 - Points Tracker'!G18+'RTD Module 1 - Points Tracker'!G19</f>
        <v>32</v>
      </c>
      <c r="F6" s="3">
        <f>'RTD Module 1 - Points Tracker'!H6+'RTD Module 1 - Points Tracker'!H17+'RTD Module 1 - Points Tracker'!H18+'RTD Module 1 - Points Tracker'!H19</f>
        <v>23</v>
      </c>
      <c r="G6" s="3">
        <f>'RTD Module 1 - Points Tracker'!I6+'RTD Module 1 - Points Tracker'!I17+'RTD Module 1 - Points Tracker'!I18+'RTD Module 1 - Points Tracker'!I19</f>
        <v>43</v>
      </c>
      <c r="H6" s="3">
        <f>'RTD Module 1 - Points Tracker'!J6+'RTD Module 1 - Points Tracker'!J17+'RTD Module 1 - Points Tracker'!J18+'RTD Module 1 - Points Tracker'!J19</f>
        <v>59</v>
      </c>
      <c r="I6" s="3">
        <f>'RTD Module 1 - Points Tracker'!K6+'RTD Module 1 - Points Tracker'!K17+'RTD Module 1 - Points Tracker'!K18+'RTD Module 1 - Points Tracker'!K19</f>
        <v>50</v>
      </c>
      <c r="J6" s="3">
        <f>'RTD Module 1 - Points Tracker'!L6+'RTD Module 1 - Points Tracker'!L17+'RTD Module 1 - Points Tracker'!L18+'RTD Module 1 - Points Tracker'!L19</f>
        <v>19</v>
      </c>
      <c r="K6" s="3">
        <f>'RTD Module 1 - Points Tracker'!M6+'RTD Module 1 - Points Tracker'!M17+'RTD Module 1 - Points Tracker'!M18+'RTD Module 1 - Points Tracker'!M19</f>
        <v>50</v>
      </c>
      <c r="L6" s="3">
        <f>'RTD Module 1 - Points Tracker'!N6+'RTD Module 1 - Points Tracker'!N17+'RTD Module 1 - Points Tracker'!N18+'RTD Module 1 - Points Tracker'!N19</f>
        <v>34</v>
      </c>
      <c r="M6" s="3">
        <f>'RTD Module 1 - Points Tracker'!O6+'RTD Module 1 - Points Tracker'!O17+'RTD Module 1 - Points Tracker'!O18+'RTD Module 1 - Points Tracker'!O19</f>
        <v>53</v>
      </c>
      <c r="N6" s="3">
        <f>'RTD Module 1 - Points Tracker'!P6+'RTD Module 1 - Points Tracker'!P17+'RTD Module 1 - Points Tracker'!P18+'RTD Module 1 - Points Tracker'!P19</f>
        <v>43</v>
      </c>
      <c r="O6" s="3">
        <f>'RTD Module 1 - Points Tracker'!Q6+'RTD Module 1 - Points Tracker'!Q17+'RTD Module 1 - Points Tracker'!Q18+'RTD Module 1 - Points Tracker'!Q19</f>
        <v>23</v>
      </c>
      <c r="P6" s="3">
        <f>'RTD Module 1 - Points Tracker'!R6+'RTD Module 1 - Points Tracker'!R17+'RTD Module 1 - Points Tracker'!R18+'RTD Module 1 - Points Tracker'!R19</f>
        <v>20</v>
      </c>
      <c r="Q6" s="3">
        <f>'RTD Module 1 - Points Tracker'!S6+'RTD Module 1 - Points Tracker'!S17+'RTD Module 1 - Points Tracker'!S18+'RTD Module 1 - Points Tracker'!S19</f>
        <v>34</v>
      </c>
    </row>
    <row r="7" spans="1:17" ht="22.5" customHeight="1">
      <c r="A7" s="3" t="s">
        <v>177</v>
      </c>
      <c r="B7" s="3">
        <f>'RTD Module 1 - Points Tracker'!D7+'RTD Module 1 - Points Tracker'!D20+'RTD Module 1 - Points Tracker'!D21+'RTD Module 1 - Points Tracker'!D22</f>
        <v>60</v>
      </c>
      <c r="C7" s="3">
        <f>'RTD Module 1 - Points Tracker'!E7+'RTD Module 1 - Points Tracker'!E20+'RTD Module 1 - Points Tracker'!E21+'RTD Module 1 - Points Tracker'!E22</f>
        <v>31</v>
      </c>
      <c r="D7" s="3">
        <f>'RTD Module 1 - Points Tracker'!F7+'RTD Module 1 - Points Tracker'!F20+'RTD Module 1 - Points Tracker'!F21+'RTD Module 1 - Points Tracker'!F22</f>
        <v>15</v>
      </c>
      <c r="E7" s="3">
        <f>'RTD Module 1 - Points Tracker'!G7+'RTD Module 1 - Points Tracker'!G20+'RTD Module 1 - Points Tracker'!G21+'RTD Module 1 - Points Tracker'!G22</f>
        <v>15</v>
      </c>
      <c r="F7" s="3">
        <f>'RTD Module 1 - Points Tracker'!H7+'RTD Module 1 - Points Tracker'!H20+'RTD Module 1 - Points Tracker'!H21+'RTD Module 1 - Points Tracker'!H22</f>
        <v>15</v>
      </c>
      <c r="G7" s="3">
        <f>'RTD Module 1 - Points Tracker'!I7+'RTD Module 1 - Points Tracker'!I20+'RTD Module 1 - Points Tracker'!I21+'RTD Module 1 - Points Tracker'!I22</f>
        <v>23</v>
      </c>
      <c r="H7" s="3">
        <f>'RTD Module 1 - Points Tracker'!J7+'RTD Module 1 - Points Tracker'!J20+'RTD Module 1 - Points Tracker'!J21+'RTD Module 1 - Points Tracker'!J22</f>
        <v>37</v>
      </c>
      <c r="I7" s="3">
        <f>'RTD Module 1 - Points Tracker'!K7+'RTD Module 1 - Points Tracker'!K20+'RTD Module 1 - Points Tracker'!K21+'RTD Module 1 - Points Tracker'!K22</f>
        <v>60</v>
      </c>
      <c r="J7" s="3">
        <f>'RTD Module 1 - Points Tracker'!L7+'RTD Module 1 - Points Tracker'!L20+'RTD Module 1 - Points Tracker'!L21+'RTD Module 1 - Points Tracker'!L22</f>
        <v>29</v>
      </c>
      <c r="K7" s="3">
        <f>'RTD Module 1 - Points Tracker'!M7+'RTD Module 1 - Points Tracker'!M20+'RTD Module 1 - Points Tracker'!M21+'RTD Module 1 - Points Tracker'!M22</f>
        <v>60</v>
      </c>
      <c r="L7" s="3">
        <f>'RTD Module 1 - Points Tracker'!N7+'RTD Module 1 - Points Tracker'!N20+'RTD Module 1 - Points Tracker'!N21+'RTD Module 1 - Points Tracker'!N22</f>
        <v>33</v>
      </c>
      <c r="M7" s="3">
        <f>'RTD Module 1 - Points Tracker'!O7+'RTD Module 1 - Points Tracker'!O20+'RTD Module 1 - Points Tracker'!O21+'RTD Module 1 - Points Tracker'!O22</f>
        <v>60</v>
      </c>
      <c r="N7" s="3">
        <f>'RTD Module 1 - Points Tracker'!P7+'RTD Module 1 - Points Tracker'!P20+'RTD Module 1 - Points Tracker'!P21+'RTD Module 1 - Points Tracker'!P22</f>
        <v>29</v>
      </c>
      <c r="O7" s="3">
        <f>'RTD Module 1 - Points Tracker'!Q7+'RTD Module 1 - Points Tracker'!Q20+'RTD Module 1 - Points Tracker'!Q21+'RTD Module 1 - Points Tracker'!Q22</f>
        <v>31</v>
      </c>
      <c r="P7" s="3">
        <f>'RTD Module 1 - Points Tracker'!R7+'RTD Module 1 - Points Tracker'!R20+'RTD Module 1 - Points Tracker'!R21+'RTD Module 1 - Points Tracker'!R22</f>
        <v>37</v>
      </c>
      <c r="Q7" s="3">
        <f>'RTD Module 1 - Points Tracker'!S7+'RTD Module 1 - Points Tracker'!S20+'RTD Module 1 - Points Tracker'!S21+'RTD Module 1 - Points Tracker'!S22</f>
        <v>60</v>
      </c>
    </row>
  </sheetData>
  <conditionalFormatting sqref="B3:Q7">
    <cfRule type="cellIs" dxfId="6" priority="1" operator="between">
      <formula>0</formula>
      <formula>30</formula>
    </cfRule>
    <cfRule type="cellIs" dxfId="5" priority="2" operator="between">
      <formula>31</formula>
      <formula>70</formula>
    </cfRule>
    <cfRule type="cellIs" dxfId="4" priority="4" operator="between">
      <formula>71</formula>
      <formula>120</formula>
    </cfRule>
  </conditionalFormatting>
  <conditionalFormatting sqref="P16">
    <cfRule type="notContainsBlanks" dxfId="3" priority="3">
      <formula>LEN(TRIM(P16))&gt;0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761D"/>
    <outlinePr summaryBelow="0" summaryRight="0"/>
  </sheetPr>
  <dimension ref="A1:H18"/>
  <sheetViews>
    <sheetView zoomScale="140" zoomScaleNormal="140" workbookViewId="0">
      <pane ySplit="1" topLeftCell="A2" activePane="bottomLeft" state="frozen"/>
      <selection pane="bottomLeft" activeCell="B2" sqref="B2"/>
    </sheetView>
  </sheetViews>
  <sheetFormatPr defaultColWidth="12.7109375" defaultRowHeight="15.75" customHeight="1"/>
  <cols>
    <col min="1" max="1" width="22.7109375" customWidth="1"/>
    <col min="2" max="2" width="19.28515625" customWidth="1"/>
    <col min="3" max="3" width="10.7109375" customWidth="1"/>
    <col min="4" max="4" width="37.7109375" customWidth="1"/>
    <col min="5" max="6" width="22.42578125" customWidth="1"/>
    <col min="7" max="7" width="20.85546875" customWidth="1"/>
  </cols>
  <sheetData>
    <row r="1" spans="1:8" ht="22.5" customHeight="1">
      <c r="A1" s="1" t="s">
        <v>112</v>
      </c>
      <c r="B1" s="1" t="s">
        <v>113</v>
      </c>
      <c r="C1" s="1" t="s">
        <v>114</v>
      </c>
      <c r="D1" s="1" t="s">
        <v>118</v>
      </c>
      <c r="E1" s="1" t="s">
        <v>58</v>
      </c>
      <c r="F1" s="1" t="s">
        <v>62</v>
      </c>
      <c r="G1" s="1" t="s">
        <v>65</v>
      </c>
      <c r="H1" s="2" t="s">
        <v>119</v>
      </c>
    </row>
    <row r="2" spans="1:8" ht="22.5" customHeight="1">
      <c r="A2" s="3" t="s">
        <v>30</v>
      </c>
      <c r="B2" s="3" t="s">
        <v>32</v>
      </c>
      <c r="C2" s="3">
        <v>3</v>
      </c>
      <c r="D2" s="3" t="s">
        <v>178</v>
      </c>
      <c r="E2" s="3" t="s">
        <v>19</v>
      </c>
      <c r="F2" s="3" t="s">
        <v>17</v>
      </c>
      <c r="G2" s="3" t="s">
        <v>25</v>
      </c>
      <c r="H2" s="2" t="s">
        <v>5</v>
      </c>
    </row>
    <row r="3" spans="1:8" ht="22.5" customHeight="1">
      <c r="A3" s="3" t="s">
        <v>30</v>
      </c>
      <c r="B3" s="3" t="s">
        <v>38</v>
      </c>
      <c r="C3" s="3">
        <v>6</v>
      </c>
      <c r="D3" s="3" t="s">
        <v>179</v>
      </c>
      <c r="E3" s="3" t="s">
        <v>21</v>
      </c>
      <c r="F3" s="3" t="s">
        <v>22</v>
      </c>
      <c r="G3" s="3" t="s">
        <v>9</v>
      </c>
      <c r="H3" s="2" t="s">
        <v>25</v>
      </c>
    </row>
    <row r="4" spans="1:8" ht="22.5" customHeight="1">
      <c r="A4" s="3" t="s">
        <v>30</v>
      </c>
      <c r="B4" s="3" t="s">
        <v>34</v>
      </c>
      <c r="C4" s="3">
        <v>6</v>
      </c>
      <c r="D4" s="3" t="s">
        <v>180</v>
      </c>
      <c r="E4" s="3" t="s">
        <v>17</v>
      </c>
      <c r="F4" s="3" t="s">
        <v>17</v>
      </c>
      <c r="G4" s="3" t="s">
        <v>12</v>
      </c>
      <c r="H4" s="2"/>
    </row>
    <row r="5" spans="1:8" ht="22.5" customHeight="1">
      <c r="A5" s="3" t="s">
        <v>46</v>
      </c>
      <c r="B5" s="3" t="s">
        <v>53</v>
      </c>
      <c r="C5" s="3">
        <v>3</v>
      </c>
      <c r="D5" s="3" t="s">
        <v>181</v>
      </c>
      <c r="E5" s="3" t="s">
        <v>25</v>
      </c>
      <c r="F5" s="3" t="s">
        <v>8</v>
      </c>
      <c r="G5" s="3" t="s">
        <v>6</v>
      </c>
      <c r="H5" s="2" t="s">
        <v>15</v>
      </c>
    </row>
    <row r="6" spans="1:8" ht="22.5" customHeight="1">
      <c r="A6" s="3" t="s">
        <v>46</v>
      </c>
      <c r="B6" s="3" t="s">
        <v>52</v>
      </c>
      <c r="C6" s="3">
        <v>6</v>
      </c>
      <c r="D6" s="3" t="s">
        <v>182</v>
      </c>
      <c r="E6" s="3" t="s">
        <v>6</v>
      </c>
      <c r="F6" s="3" t="s">
        <v>21</v>
      </c>
      <c r="G6" s="3" t="s">
        <v>25</v>
      </c>
      <c r="H6" s="2" t="s">
        <v>17</v>
      </c>
    </row>
    <row r="7" spans="1:8" ht="22.5" customHeight="1">
      <c r="A7" s="3" t="s">
        <v>46</v>
      </c>
      <c r="B7" s="3" t="s">
        <v>50</v>
      </c>
      <c r="C7" s="3">
        <v>6</v>
      </c>
      <c r="D7" s="3" t="s">
        <v>183</v>
      </c>
      <c r="E7" s="3" t="s">
        <v>25</v>
      </c>
      <c r="F7" s="3" t="s">
        <v>22</v>
      </c>
      <c r="G7" s="3" t="s">
        <v>6</v>
      </c>
      <c r="H7" s="2" t="s">
        <v>19</v>
      </c>
    </row>
    <row r="8" spans="1:8" ht="22.5" customHeight="1">
      <c r="A8" s="3" t="s">
        <v>39</v>
      </c>
      <c r="B8" s="3" t="s">
        <v>41</v>
      </c>
      <c r="C8" s="3">
        <v>3</v>
      </c>
      <c r="D8" s="3" t="s">
        <v>184</v>
      </c>
      <c r="E8" s="3" t="s">
        <v>9</v>
      </c>
      <c r="F8" s="3" t="s">
        <v>6</v>
      </c>
      <c r="G8" s="3" t="s">
        <v>15</v>
      </c>
      <c r="H8" s="2" t="s">
        <v>9</v>
      </c>
    </row>
    <row r="9" spans="1:8" ht="22.5" customHeight="1">
      <c r="A9" s="3" t="s">
        <v>39</v>
      </c>
      <c r="B9" s="3" t="s">
        <v>45</v>
      </c>
      <c r="C9" s="3">
        <v>6</v>
      </c>
      <c r="D9" s="3" t="s">
        <v>185</v>
      </c>
      <c r="E9" s="3" t="s">
        <v>21</v>
      </c>
      <c r="F9" s="3" t="s">
        <v>6</v>
      </c>
      <c r="G9" s="3" t="s">
        <v>22</v>
      </c>
      <c r="H9" s="2" t="s">
        <v>8</v>
      </c>
    </row>
    <row r="10" spans="1:8" ht="22.5" customHeight="1">
      <c r="A10" s="3" t="s">
        <v>39</v>
      </c>
      <c r="B10" s="3" t="s">
        <v>43</v>
      </c>
      <c r="C10" s="3">
        <v>6</v>
      </c>
      <c r="D10" s="3" t="s">
        <v>186</v>
      </c>
      <c r="E10" s="3" t="s">
        <v>6</v>
      </c>
      <c r="F10" s="3" t="s">
        <v>21</v>
      </c>
      <c r="G10" s="3" t="s">
        <v>22</v>
      </c>
      <c r="H10" s="2" t="s">
        <v>6</v>
      </c>
    </row>
    <row r="11" spans="1:8" ht="22.5" customHeight="1">
      <c r="A11" s="3" t="s">
        <v>18</v>
      </c>
      <c r="B11" s="3" t="s">
        <v>29</v>
      </c>
      <c r="C11" s="3">
        <v>6</v>
      </c>
      <c r="D11" s="3" t="s">
        <v>187</v>
      </c>
      <c r="E11" s="3" t="s">
        <v>25</v>
      </c>
      <c r="F11" s="3" t="s">
        <v>21</v>
      </c>
      <c r="G11" s="3" t="s">
        <v>19</v>
      </c>
      <c r="H11" s="2" t="s">
        <v>22</v>
      </c>
    </row>
    <row r="12" spans="1:8" ht="22.5" customHeight="1">
      <c r="A12" s="3" t="s">
        <v>18</v>
      </c>
      <c r="B12" s="3" t="s">
        <v>26</v>
      </c>
      <c r="C12" s="3">
        <v>6</v>
      </c>
      <c r="D12" s="3" t="s">
        <v>188</v>
      </c>
      <c r="E12" s="3" t="s">
        <v>22</v>
      </c>
      <c r="F12" s="3" t="s">
        <v>21</v>
      </c>
      <c r="G12" s="3" t="s">
        <v>6</v>
      </c>
      <c r="H12" s="2" t="s">
        <v>21</v>
      </c>
    </row>
    <row r="13" spans="1:8" ht="22.5" customHeight="1">
      <c r="A13" s="3" t="s">
        <v>18</v>
      </c>
      <c r="B13" s="3" t="s">
        <v>23</v>
      </c>
      <c r="C13" s="3">
        <v>3</v>
      </c>
      <c r="D13" s="3" t="s">
        <v>189</v>
      </c>
      <c r="E13" s="3" t="s">
        <v>25</v>
      </c>
      <c r="F13" s="3" t="s">
        <v>15</v>
      </c>
      <c r="G13" s="3" t="s">
        <v>6</v>
      </c>
      <c r="H13" s="2" t="s">
        <v>12</v>
      </c>
    </row>
    <row r="14" spans="1:8" ht="22.5" customHeight="1">
      <c r="A14" s="3" t="s">
        <v>4</v>
      </c>
      <c r="B14" s="3" t="s">
        <v>10</v>
      </c>
      <c r="C14" s="3">
        <v>6</v>
      </c>
      <c r="D14" s="3" t="s">
        <v>190</v>
      </c>
      <c r="E14" s="3" t="s">
        <v>17</v>
      </c>
      <c r="F14" s="3" t="s">
        <v>8</v>
      </c>
      <c r="G14" s="3" t="s">
        <v>12</v>
      </c>
    </row>
    <row r="15" spans="1:8" ht="22.5" customHeight="1">
      <c r="A15" s="3" t="s">
        <v>4</v>
      </c>
      <c r="B15" s="3" t="s">
        <v>13</v>
      </c>
      <c r="C15" s="3">
        <v>3</v>
      </c>
      <c r="D15" s="3" t="s">
        <v>191</v>
      </c>
      <c r="E15" s="3" t="s">
        <v>17</v>
      </c>
      <c r="F15" s="3" t="s">
        <v>12</v>
      </c>
      <c r="G15" s="3" t="s">
        <v>9</v>
      </c>
    </row>
    <row r="16" spans="1:8" ht="22.5" customHeight="1">
      <c r="A16" s="3" t="s">
        <v>4</v>
      </c>
      <c r="B16" s="3" t="s">
        <v>16</v>
      </c>
      <c r="C16" s="3">
        <v>6</v>
      </c>
      <c r="D16" s="3" t="s">
        <v>134</v>
      </c>
      <c r="E16" s="3" t="s">
        <v>12</v>
      </c>
      <c r="F16" s="3" t="s">
        <v>17</v>
      </c>
      <c r="G16" s="3" t="s">
        <v>25</v>
      </c>
    </row>
    <row r="17" spans="1:7" ht="22.5" customHeight="1">
      <c r="A17" s="3" t="s">
        <v>30</v>
      </c>
      <c r="B17" s="3" t="s">
        <v>36</v>
      </c>
      <c r="C17" s="3">
        <v>15</v>
      </c>
      <c r="D17" s="3" t="s">
        <v>192</v>
      </c>
      <c r="E17" s="3" t="s">
        <v>12</v>
      </c>
      <c r="F17" s="3" t="s">
        <v>21</v>
      </c>
      <c r="G17" s="3" t="s">
        <v>6</v>
      </c>
    </row>
    <row r="18" spans="1:7" ht="22.5" customHeight="1">
      <c r="A18" s="3" t="s">
        <v>46</v>
      </c>
      <c r="B18" s="3" t="s">
        <v>48</v>
      </c>
      <c r="C18" s="3">
        <v>15</v>
      </c>
      <c r="D18" s="3" t="s">
        <v>193</v>
      </c>
      <c r="E18" s="3" t="s">
        <v>25</v>
      </c>
      <c r="F18" s="3" t="s">
        <v>25</v>
      </c>
      <c r="G18" s="3" t="s">
        <v>6</v>
      </c>
    </row>
  </sheetData>
  <dataValidations count="2">
    <dataValidation type="list" allowBlank="1" showErrorMessage="1" sqref="E2:G18" xr:uid="{00000000-0002-0000-0400-000000000000}">
      <formula1>#REF!</formula1>
    </dataValidation>
    <dataValidation type="list" allowBlank="1" showErrorMessage="1" sqref="A2:A18" xr:uid="{00000000-0002-0000-0400-000001000000}">
      <formula1>"Game Mastery,Teamwork,Personal Development,Esports Citizen,Digital skills"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761D"/>
    <outlinePr summaryBelow="0" summaryRight="0"/>
  </sheetPr>
  <dimension ref="A2:S24"/>
  <sheetViews>
    <sheetView topLeftCell="A2" zoomScale="130" zoomScaleNormal="130" workbookViewId="0">
      <selection activeCell="A3" sqref="A3:S7"/>
    </sheetView>
  </sheetViews>
  <sheetFormatPr defaultColWidth="12.7109375" defaultRowHeight="15.75" customHeight="1"/>
  <cols>
    <col min="1" max="1" width="22.7109375" customWidth="1"/>
    <col min="2" max="2" width="18.7109375" customWidth="1"/>
    <col min="3" max="3" width="12.28515625" customWidth="1"/>
    <col min="11" max="11" width="11" customWidth="1"/>
    <col min="13" max="14" width="9.85546875" customWidth="1"/>
    <col min="15" max="15" width="11.140625" customWidth="1"/>
    <col min="16" max="16" width="10.42578125" customWidth="1"/>
    <col min="17" max="17" width="8.7109375" customWidth="1"/>
    <col min="18" max="18" width="11.7109375" customWidth="1"/>
  </cols>
  <sheetData>
    <row r="2" spans="1:19" ht="22.5" customHeight="1">
      <c r="A2" s="9" t="s">
        <v>153</v>
      </c>
      <c r="B2" s="9" t="s">
        <v>113</v>
      </c>
      <c r="C2" s="9" t="s">
        <v>114</v>
      </c>
      <c r="D2" s="9" t="s">
        <v>154</v>
      </c>
      <c r="E2" s="9" t="s">
        <v>155</v>
      </c>
      <c r="F2" s="9" t="s">
        <v>156</v>
      </c>
      <c r="G2" s="9" t="s">
        <v>157</v>
      </c>
      <c r="H2" s="9" t="s">
        <v>158</v>
      </c>
      <c r="I2" s="9" t="s">
        <v>159</v>
      </c>
      <c r="J2" s="9" t="s">
        <v>160</v>
      </c>
      <c r="K2" s="9" t="s">
        <v>161</v>
      </c>
      <c r="L2" s="9" t="s">
        <v>162</v>
      </c>
      <c r="M2" s="9" t="s">
        <v>163</v>
      </c>
      <c r="N2" s="9" t="s">
        <v>164</v>
      </c>
      <c r="O2" s="9" t="s">
        <v>165</v>
      </c>
      <c r="P2" s="9" t="s">
        <v>166</v>
      </c>
      <c r="Q2" s="9" t="s">
        <v>167</v>
      </c>
      <c r="R2" s="9" t="s">
        <v>168</v>
      </c>
      <c r="S2" s="9" t="s">
        <v>169</v>
      </c>
    </row>
    <row r="3" spans="1:19" ht="22.5" customHeight="1">
      <c r="A3" s="3" t="s">
        <v>30</v>
      </c>
      <c r="B3" s="3" t="s">
        <v>170</v>
      </c>
      <c r="C3" s="3"/>
      <c r="D3" s="3">
        <v>20</v>
      </c>
      <c r="E3" s="3">
        <v>13</v>
      </c>
      <c r="F3" s="3">
        <v>42</v>
      </c>
      <c r="G3" s="3">
        <v>48</v>
      </c>
      <c r="H3" s="3">
        <v>48</v>
      </c>
      <c r="I3" s="3">
        <v>36</v>
      </c>
      <c r="J3" s="3">
        <v>35</v>
      </c>
      <c r="K3" s="3">
        <v>12</v>
      </c>
      <c r="L3" s="3">
        <v>10</v>
      </c>
      <c r="M3" s="3">
        <v>44</v>
      </c>
      <c r="N3" s="3">
        <v>39</v>
      </c>
      <c r="O3" s="3">
        <v>22</v>
      </c>
      <c r="P3" s="3">
        <v>48</v>
      </c>
      <c r="Q3" s="3"/>
      <c r="R3" s="3">
        <v>12</v>
      </c>
      <c r="S3" s="3">
        <v>32</v>
      </c>
    </row>
    <row r="4" spans="1:19" ht="22.5" customHeight="1">
      <c r="A4" s="3" t="s">
        <v>46</v>
      </c>
      <c r="B4" s="3" t="s">
        <v>170</v>
      </c>
      <c r="C4" s="3"/>
      <c r="D4" s="3">
        <v>18</v>
      </c>
      <c r="E4" s="3">
        <v>45</v>
      </c>
      <c r="F4" s="3">
        <v>38</v>
      </c>
      <c r="G4" s="3">
        <v>40</v>
      </c>
      <c r="H4" s="3">
        <v>40</v>
      </c>
      <c r="I4" s="3">
        <v>27</v>
      </c>
      <c r="J4" s="3">
        <v>38</v>
      </c>
      <c r="K4" s="3">
        <v>9</v>
      </c>
      <c r="L4" s="3">
        <v>12</v>
      </c>
      <c r="M4" s="3">
        <v>40</v>
      </c>
      <c r="N4" s="3">
        <v>40</v>
      </c>
      <c r="O4" s="3">
        <v>18</v>
      </c>
      <c r="P4" s="3">
        <v>40</v>
      </c>
      <c r="Q4" s="3"/>
      <c r="R4" s="3">
        <v>9</v>
      </c>
      <c r="S4" s="3">
        <v>40</v>
      </c>
    </row>
    <row r="5" spans="1:19" ht="22.5" customHeight="1">
      <c r="A5" s="3" t="s">
        <v>39</v>
      </c>
      <c r="B5" s="3" t="s">
        <v>170</v>
      </c>
      <c r="C5" s="3"/>
      <c r="D5" s="3">
        <v>12</v>
      </c>
      <c r="E5" s="3">
        <v>22</v>
      </c>
      <c r="F5" s="3">
        <v>22</v>
      </c>
      <c r="G5" s="3">
        <v>22</v>
      </c>
      <c r="H5" s="3">
        <v>22</v>
      </c>
      <c r="I5" s="3">
        <v>20</v>
      </c>
      <c r="J5" s="3">
        <v>12</v>
      </c>
      <c r="K5" s="3">
        <v>12</v>
      </c>
      <c r="L5" s="3">
        <v>12</v>
      </c>
      <c r="M5" s="3">
        <v>22</v>
      </c>
      <c r="N5" s="3">
        <v>12</v>
      </c>
      <c r="O5" s="3">
        <v>12</v>
      </c>
      <c r="P5" s="3">
        <v>12</v>
      </c>
      <c r="Q5" s="3"/>
      <c r="R5" s="3">
        <v>12</v>
      </c>
      <c r="S5" s="3">
        <v>20</v>
      </c>
    </row>
    <row r="6" spans="1:19" ht="22.5" customHeight="1">
      <c r="A6" s="3" t="s">
        <v>18</v>
      </c>
      <c r="B6" s="3" t="s">
        <v>170</v>
      </c>
      <c r="C6" s="3"/>
      <c r="D6" s="3">
        <v>21</v>
      </c>
      <c r="E6" s="3">
        <v>38</v>
      </c>
      <c r="F6" s="3">
        <v>21</v>
      </c>
      <c r="H6" s="3">
        <v>36</v>
      </c>
      <c r="I6" s="3">
        <v>38</v>
      </c>
      <c r="J6" s="3">
        <v>17</v>
      </c>
      <c r="K6" s="3">
        <v>21</v>
      </c>
      <c r="L6" s="3"/>
      <c r="M6" s="3">
        <v>38</v>
      </c>
      <c r="N6" s="3">
        <v>21</v>
      </c>
      <c r="O6" s="3">
        <v>21</v>
      </c>
      <c r="P6" s="3">
        <v>21</v>
      </c>
      <c r="Q6" s="3"/>
      <c r="R6" s="3">
        <v>21</v>
      </c>
      <c r="S6" s="3">
        <v>21</v>
      </c>
    </row>
    <row r="7" spans="1:19" ht="22.5" customHeight="1">
      <c r="A7" s="3" t="s">
        <v>4</v>
      </c>
      <c r="B7" s="3" t="s">
        <v>170</v>
      </c>
      <c r="C7" s="3"/>
      <c r="D7" s="3">
        <v>25</v>
      </c>
      <c r="E7" s="3">
        <v>20</v>
      </c>
      <c r="F7" s="3">
        <v>32</v>
      </c>
      <c r="G7" s="3">
        <v>20</v>
      </c>
      <c r="H7" s="3">
        <v>32</v>
      </c>
      <c r="I7" s="3">
        <v>32</v>
      </c>
      <c r="J7" s="3">
        <v>25</v>
      </c>
      <c r="K7" s="3">
        <v>25</v>
      </c>
      <c r="L7" s="3">
        <v>6</v>
      </c>
      <c r="M7" s="3">
        <v>25</v>
      </c>
      <c r="N7" s="3">
        <v>32</v>
      </c>
      <c r="O7" s="3">
        <v>32</v>
      </c>
      <c r="P7" s="3">
        <v>25</v>
      </c>
      <c r="Q7" s="3"/>
      <c r="R7" s="3">
        <v>25</v>
      </c>
      <c r="S7" s="3">
        <v>25</v>
      </c>
    </row>
    <row r="8" spans="1:19" ht="22.5" customHeight="1">
      <c r="A8" s="3" t="s">
        <v>30</v>
      </c>
      <c r="B8" s="3" t="s">
        <v>32</v>
      </c>
      <c r="C8" s="3">
        <v>3</v>
      </c>
      <c r="D8" s="3">
        <v>3</v>
      </c>
      <c r="E8" s="3">
        <v>3</v>
      </c>
      <c r="F8" s="3">
        <v>3</v>
      </c>
      <c r="G8" s="3">
        <v>3</v>
      </c>
      <c r="H8" s="3">
        <v>3</v>
      </c>
      <c r="K8" s="3">
        <v>3</v>
      </c>
      <c r="L8" s="3">
        <v>3</v>
      </c>
      <c r="M8" s="3">
        <v>3</v>
      </c>
      <c r="N8" s="3">
        <v>3</v>
      </c>
      <c r="O8" s="3">
        <v>3</v>
      </c>
      <c r="P8" s="3">
        <v>3</v>
      </c>
      <c r="Q8" s="3">
        <v>3</v>
      </c>
      <c r="R8" s="3">
        <v>3</v>
      </c>
      <c r="S8" s="3"/>
    </row>
    <row r="9" spans="1:19" ht="22.5" customHeight="1">
      <c r="A9" s="3" t="s">
        <v>30</v>
      </c>
      <c r="B9" s="3" t="s">
        <v>38</v>
      </c>
      <c r="C9" s="3">
        <v>6</v>
      </c>
      <c r="D9" s="3">
        <v>6</v>
      </c>
      <c r="E9" s="3">
        <v>6</v>
      </c>
      <c r="F9" s="3">
        <v>6</v>
      </c>
      <c r="G9" s="3">
        <v>6</v>
      </c>
      <c r="H9" s="3">
        <v>6</v>
      </c>
      <c r="I9" s="3">
        <v>6</v>
      </c>
      <c r="J9" s="3">
        <v>6</v>
      </c>
      <c r="K9" s="3">
        <v>6</v>
      </c>
      <c r="L9" s="3">
        <v>6</v>
      </c>
      <c r="M9" s="3">
        <v>6</v>
      </c>
      <c r="N9" s="3"/>
      <c r="O9" s="3">
        <v>6</v>
      </c>
      <c r="P9" s="3">
        <v>6</v>
      </c>
      <c r="Q9" s="3">
        <v>6</v>
      </c>
      <c r="R9" s="3">
        <v>6</v>
      </c>
      <c r="S9" s="3">
        <v>6</v>
      </c>
    </row>
    <row r="10" spans="1:19" ht="22.5" customHeight="1">
      <c r="A10" s="3" t="s">
        <v>30</v>
      </c>
      <c r="B10" s="3" t="s">
        <v>34</v>
      </c>
      <c r="C10" s="3">
        <v>6</v>
      </c>
      <c r="K10" s="3"/>
      <c r="L10" s="3"/>
      <c r="M10" s="3"/>
      <c r="N10" s="3"/>
      <c r="O10" s="3"/>
      <c r="P10" s="3"/>
      <c r="Q10" s="3"/>
      <c r="R10" s="3"/>
      <c r="S10" s="3"/>
    </row>
    <row r="11" spans="1:19" ht="22.5" customHeight="1">
      <c r="A11" s="3" t="s">
        <v>46</v>
      </c>
      <c r="B11" s="3" t="s">
        <v>53</v>
      </c>
      <c r="C11" s="3">
        <v>3</v>
      </c>
      <c r="D11" s="3"/>
      <c r="E11" s="3"/>
      <c r="F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22.5" customHeight="1">
      <c r="A12" s="3" t="s">
        <v>46</v>
      </c>
      <c r="B12" s="3" t="s">
        <v>52</v>
      </c>
      <c r="C12" s="3">
        <v>6</v>
      </c>
      <c r="D12" s="3">
        <v>6</v>
      </c>
      <c r="E12" s="3">
        <v>6</v>
      </c>
      <c r="F12" s="3">
        <v>6</v>
      </c>
      <c r="G12" s="3">
        <v>6</v>
      </c>
      <c r="H12" s="3">
        <v>6</v>
      </c>
      <c r="J12" s="3">
        <v>6</v>
      </c>
      <c r="K12" s="3">
        <v>6</v>
      </c>
      <c r="L12" s="3">
        <v>6</v>
      </c>
      <c r="M12" s="3">
        <v>6</v>
      </c>
      <c r="N12" s="3"/>
      <c r="O12" s="3">
        <v>6</v>
      </c>
      <c r="P12" s="3">
        <v>6</v>
      </c>
      <c r="Q12" s="3">
        <v>6</v>
      </c>
      <c r="R12" s="3">
        <v>6</v>
      </c>
      <c r="S12" s="3">
        <v>6</v>
      </c>
    </row>
    <row r="13" spans="1:19" ht="22.5" customHeight="1">
      <c r="A13" s="3" t="s">
        <v>46</v>
      </c>
      <c r="B13" s="3" t="s">
        <v>50</v>
      </c>
      <c r="C13" s="3">
        <v>6</v>
      </c>
      <c r="D13" s="3">
        <v>6</v>
      </c>
      <c r="E13" s="3">
        <v>6</v>
      </c>
      <c r="F13" s="3">
        <v>6</v>
      </c>
      <c r="J13" s="3">
        <v>6</v>
      </c>
      <c r="K13" s="3">
        <v>6</v>
      </c>
      <c r="L13" s="3"/>
      <c r="M13" s="3"/>
      <c r="N13" s="3"/>
      <c r="O13" s="3">
        <v>6</v>
      </c>
      <c r="P13" s="3"/>
      <c r="Q13" s="3"/>
      <c r="R13" s="3"/>
      <c r="S13" s="3"/>
    </row>
    <row r="14" spans="1:19" ht="22.5" customHeight="1">
      <c r="A14" s="3" t="s">
        <v>39</v>
      </c>
      <c r="B14" s="3" t="s">
        <v>41</v>
      </c>
      <c r="C14" s="3">
        <v>3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3</v>
      </c>
      <c r="M14" s="3">
        <v>3</v>
      </c>
      <c r="N14" s="3">
        <v>3</v>
      </c>
      <c r="O14" s="3">
        <v>3</v>
      </c>
      <c r="P14" s="3">
        <v>3</v>
      </c>
      <c r="Q14" s="3">
        <v>3</v>
      </c>
      <c r="R14" s="3"/>
      <c r="S14" s="3">
        <v>3</v>
      </c>
    </row>
    <row r="15" spans="1:19" ht="22.5" customHeight="1">
      <c r="A15" s="3" t="s">
        <v>39</v>
      </c>
      <c r="B15" s="3" t="s">
        <v>45</v>
      </c>
      <c r="C15" s="3">
        <v>6</v>
      </c>
      <c r="K15" s="3"/>
      <c r="L15" s="3"/>
      <c r="M15" s="3"/>
      <c r="N15" s="3"/>
      <c r="O15" s="3"/>
      <c r="P15" s="3"/>
      <c r="Q15" s="3"/>
      <c r="R15" s="3"/>
      <c r="S15" s="3"/>
    </row>
    <row r="16" spans="1:19" ht="22.5" customHeight="1">
      <c r="A16" s="3" t="s">
        <v>39</v>
      </c>
      <c r="B16" s="3" t="s">
        <v>43</v>
      </c>
      <c r="C16" s="3">
        <v>6</v>
      </c>
      <c r="K16" s="3"/>
      <c r="L16" s="3"/>
      <c r="M16" s="3"/>
      <c r="N16" s="3"/>
      <c r="O16" s="3"/>
      <c r="P16" s="3"/>
      <c r="Q16" s="3"/>
      <c r="R16" s="3"/>
      <c r="S16" s="3"/>
    </row>
    <row r="17" spans="1:19" ht="22.5" customHeight="1">
      <c r="A17" s="3" t="s">
        <v>18</v>
      </c>
      <c r="B17" s="3" t="s">
        <v>29</v>
      </c>
      <c r="C17" s="3">
        <v>6</v>
      </c>
      <c r="D17" s="3">
        <v>6</v>
      </c>
      <c r="E17" s="3">
        <v>6</v>
      </c>
      <c r="F17" s="3">
        <v>6</v>
      </c>
      <c r="G17" s="3">
        <v>6</v>
      </c>
      <c r="H17" s="3">
        <v>6</v>
      </c>
      <c r="I17" s="3">
        <v>6</v>
      </c>
      <c r="J17" s="3">
        <v>6</v>
      </c>
      <c r="K17" s="3">
        <v>6</v>
      </c>
      <c r="L17" s="3">
        <v>6</v>
      </c>
      <c r="M17" s="3">
        <v>6</v>
      </c>
      <c r="N17" s="3">
        <v>6</v>
      </c>
      <c r="O17" s="3">
        <v>6</v>
      </c>
      <c r="P17" s="3">
        <v>6</v>
      </c>
      <c r="Q17" s="3">
        <v>6</v>
      </c>
      <c r="R17" s="3"/>
      <c r="S17" s="3">
        <v>6</v>
      </c>
    </row>
    <row r="18" spans="1:19" ht="22.5" customHeight="1">
      <c r="A18" s="3" t="s">
        <v>18</v>
      </c>
      <c r="B18" s="3" t="s">
        <v>26</v>
      </c>
      <c r="C18" s="3">
        <v>6</v>
      </c>
      <c r="D18" s="3">
        <v>6</v>
      </c>
      <c r="E18" s="3">
        <v>6</v>
      </c>
      <c r="H18" s="3">
        <v>6</v>
      </c>
      <c r="K18" s="3">
        <v>6</v>
      </c>
      <c r="L18" s="3"/>
      <c r="M18" s="3">
        <v>6</v>
      </c>
      <c r="N18" s="3"/>
      <c r="O18" s="3">
        <v>6</v>
      </c>
      <c r="P18" s="3"/>
      <c r="Q18" s="3"/>
      <c r="R18" s="3"/>
      <c r="S18" s="3">
        <v>6</v>
      </c>
    </row>
    <row r="19" spans="1:19" ht="22.5" customHeight="1">
      <c r="A19" s="3" t="s">
        <v>18</v>
      </c>
      <c r="B19" s="3" t="s">
        <v>23</v>
      </c>
      <c r="C19" s="3">
        <v>3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ht="22.5" customHeight="1">
      <c r="A20" s="3" t="s">
        <v>4</v>
      </c>
      <c r="B20" s="3" t="s">
        <v>10</v>
      </c>
      <c r="C20" s="3">
        <v>6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ht="22.5" customHeight="1">
      <c r="A21" s="3" t="s">
        <v>4</v>
      </c>
      <c r="B21" s="3" t="s">
        <v>13</v>
      </c>
      <c r="C21" s="3">
        <v>3</v>
      </c>
      <c r="D21" s="3">
        <v>3</v>
      </c>
      <c r="E21" s="3">
        <v>3</v>
      </c>
      <c r="F21" s="3">
        <v>3</v>
      </c>
      <c r="G21" s="3">
        <v>3</v>
      </c>
      <c r="H21" s="3">
        <v>3</v>
      </c>
      <c r="I21" s="3">
        <v>3</v>
      </c>
      <c r="J21" s="3">
        <v>3</v>
      </c>
      <c r="K21" s="3">
        <v>3</v>
      </c>
      <c r="L21" s="3">
        <v>3</v>
      </c>
      <c r="M21" s="3">
        <v>3</v>
      </c>
      <c r="N21" s="3">
        <v>3</v>
      </c>
      <c r="O21" s="3">
        <v>3</v>
      </c>
      <c r="P21" s="3">
        <v>3</v>
      </c>
      <c r="Q21" s="3">
        <v>3</v>
      </c>
      <c r="R21" s="3">
        <v>3</v>
      </c>
      <c r="S21" s="3">
        <v>3</v>
      </c>
    </row>
    <row r="22" spans="1:19" ht="22.5" customHeight="1">
      <c r="A22" s="3" t="s">
        <v>4</v>
      </c>
      <c r="B22" s="3" t="s">
        <v>16</v>
      </c>
      <c r="C22" s="3">
        <v>6</v>
      </c>
      <c r="K22" s="3"/>
      <c r="L22" s="3"/>
      <c r="M22" s="3"/>
      <c r="N22" s="3"/>
      <c r="O22" s="3"/>
      <c r="P22" s="3"/>
      <c r="Q22" s="3"/>
      <c r="R22" s="3"/>
      <c r="S22" s="3"/>
    </row>
    <row r="23" spans="1:19" ht="22.5" customHeight="1">
      <c r="A23" s="3" t="s">
        <v>30</v>
      </c>
      <c r="B23" s="3" t="s">
        <v>36</v>
      </c>
      <c r="C23" s="3">
        <v>15</v>
      </c>
      <c r="K23" s="3"/>
      <c r="L23" s="3"/>
      <c r="M23" s="3"/>
      <c r="N23" s="3"/>
      <c r="O23" s="3"/>
      <c r="P23" s="3"/>
      <c r="Q23" s="3"/>
      <c r="R23" s="3"/>
      <c r="S23" s="3"/>
    </row>
    <row r="24" spans="1:19" ht="22.5" customHeight="1">
      <c r="A24" s="3" t="s">
        <v>46</v>
      </c>
      <c r="B24" s="3" t="s">
        <v>48</v>
      </c>
      <c r="C24" s="3">
        <v>15</v>
      </c>
      <c r="K24" s="3"/>
      <c r="L24" s="3"/>
      <c r="M24" s="3"/>
      <c r="N24" s="3"/>
      <c r="O24" s="3"/>
      <c r="P24" s="3"/>
      <c r="Q24" s="3"/>
      <c r="R24" s="3"/>
      <c r="S24" s="3"/>
    </row>
  </sheetData>
  <dataValidations count="2">
    <dataValidation type="list" allowBlank="1" showErrorMessage="1" sqref="A3:A24" xr:uid="{00000000-0002-0000-0500-000000000000}">
      <formula1>"Game Mastery,Teamwork,Personal Development,Esports Citizen,Digital skills"</formula1>
    </dataValidation>
    <dataValidation type="custom" allowBlank="1" showDropDown="1" sqref="C3:C24" xr:uid="{00000000-0002-0000-0500-000001000000}">
      <formula1>AND(ISNUMBER(C3),(NOT(OR(NOT(ISERROR(DATEVALUE(C3))), AND(ISNUMBER(C3), LEFT(CELL("format", C3))="D")))))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Q7"/>
  <sheetViews>
    <sheetView zoomScale="140" zoomScaleNormal="140" workbookViewId="0">
      <selection activeCell="A9" sqref="A9"/>
    </sheetView>
  </sheetViews>
  <sheetFormatPr defaultColWidth="12.7109375" defaultRowHeight="15.75" customHeight="1"/>
  <sheetData>
    <row r="2" spans="1:17" ht="22.5" customHeight="1">
      <c r="A2" s="9" t="s">
        <v>174</v>
      </c>
      <c r="B2" s="9" t="s">
        <v>154</v>
      </c>
      <c r="C2" s="9" t="s">
        <v>155</v>
      </c>
      <c r="D2" s="9" t="s">
        <v>156</v>
      </c>
      <c r="E2" s="9" t="s">
        <v>157</v>
      </c>
      <c r="F2" s="9" t="s">
        <v>158</v>
      </c>
      <c r="G2" s="9" t="s">
        <v>159</v>
      </c>
      <c r="H2" s="9" t="s">
        <v>160</v>
      </c>
      <c r="I2" s="9" t="s">
        <v>161</v>
      </c>
      <c r="J2" s="9" t="s">
        <v>162</v>
      </c>
      <c r="K2" s="9" t="s">
        <v>163</v>
      </c>
      <c r="L2" s="9" t="s">
        <v>164</v>
      </c>
      <c r="M2" s="9" t="s">
        <v>165</v>
      </c>
      <c r="N2" s="9" t="s">
        <v>166</v>
      </c>
      <c r="O2" s="9" t="s">
        <v>167</v>
      </c>
      <c r="P2" s="9" t="s">
        <v>168</v>
      </c>
      <c r="Q2" s="9" t="s">
        <v>169</v>
      </c>
    </row>
    <row r="3" spans="1:17" ht="22.5" customHeight="1">
      <c r="A3" s="3" t="s">
        <v>175</v>
      </c>
      <c r="B3" s="3">
        <f>'DtED MCModule 1 - Points Tracke'!D3+'DtED MCModule 1 - Points Tracke'!D8+'DtED MCModule 1 - Points Tracke'!D9+'DtED MCModule 1 - Points Tracke'!D10+'DtED MCModule 1 - Points Tracke'!D23</f>
        <v>29</v>
      </c>
      <c r="C3" s="3">
        <f>'DtED MCModule 1 - Points Tracke'!E3+'DtED MCModule 1 - Points Tracke'!E8+'DtED MCModule 1 - Points Tracke'!E9+'DtED MCModule 1 - Points Tracke'!E10+'DtED MCModule 1 - Points Tracke'!E23</f>
        <v>22</v>
      </c>
      <c r="D3" s="3">
        <f>'DtED MCModule 1 - Points Tracke'!F3+'DtED MCModule 1 - Points Tracke'!F8+'DtED MCModule 1 - Points Tracke'!F9+'DtED MCModule 1 - Points Tracke'!F10+'DtED MCModule 1 - Points Tracke'!F23</f>
        <v>51</v>
      </c>
      <c r="E3" s="3">
        <f>'DtED MCModule 1 - Points Tracke'!G3+'DtED MCModule 1 - Points Tracke'!G8+'DtED MCModule 1 - Points Tracke'!G9+'DtED MCModule 1 - Points Tracke'!G10+'DtED MCModule 1 - Points Tracke'!G23</f>
        <v>57</v>
      </c>
      <c r="F3" s="3">
        <f>'DtED MCModule 1 - Points Tracke'!H3+'DtED MCModule 1 - Points Tracke'!H8+'DtED MCModule 1 - Points Tracke'!H9+'DtED MCModule 1 - Points Tracke'!H10+'DtED MCModule 1 - Points Tracke'!H23</f>
        <v>57</v>
      </c>
      <c r="G3" s="3">
        <f>'DtED MCModule 1 - Points Tracke'!I3+'DtED MCModule 1 - Points Tracke'!I8+'DtED MCModule 1 - Points Tracke'!I9+'DtED MCModule 1 - Points Tracke'!I10+'DtED MCModule 1 - Points Tracke'!I23</f>
        <v>42</v>
      </c>
      <c r="H3" s="3">
        <f>'DtED MCModule 1 - Points Tracke'!J3+'DtED MCModule 1 - Points Tracke'!J8+'DtED MCModule 1 - Points Tracke'!J9+'DtED MCModule 1 - Points Tracke'!J10+'DtED MCModule 1 - Points Tracke'!J23</f>
        <v>41</v>
      </c>
      <c r="I3" s="3">
        <f>'DtED MCModule 1 - Points Tracke'!K3+'DtED MCModule 1 - Points Tracke'!K8+'DtED MCModule 1 - Points Tracke'!K9+'DtED MCModule 1 - Points Tracke'!K10+'DtED MCModule 1 - Points Tracke'!K23</f>
        <v>21</v>
      </c>
      <c r="J3" s="3">
        <f>'DtED MCModule 1 - Points Tracke'!L3+'DtED MCModule 1 - Points Tracke'!L8+'DtED MCModule 1 - Points Tracke'!L9+'DtED MCModule 1 - Points Tracke'!L10+'DtED MCModule 1 - Points Tracke'!L23</f>
        <v>19</v>
      </c>
      <c r="K3" s="3">
        <f>'DtED MCModule 1 - Points Tracke'!M3+'DtED MCModule 1 - Points Tracke'!M8+'DtED MCModule 1 - Points Tracke'!M9+'DtED MCModule 1 - Points Tracke'!M10+'DtED MCModule 1 - Points Tracke'!M23</f>
        <v>53</v>
      </c>
      <c r="L3" s="3">
        <f>'DtED MCModule 1 - Points Tracke'!N3+'DtED MCModule 1 - Points Tracke'!N8+'DtED MCModule 1 - Points Tracke'!N9+'DtED MCModule 1 - Points Tracke'!N10+'DtED MCModule 1 - Points Tracke'!N23</f>
        <v>42</v>
      </c>
      <c r="M3" s="3">
        <f>'DtED MCModule 1 - Points Tracke'!O3+'DtED MCModule 1 - Points Tracke'!O8+'DtED MCModule 1 - Points Tracke'!O9+'DtED MCModule 1 - Points Tracke'!O10+'DtED MCModule 1 - Points Tracke'!O23</f>
        <v>31</v>
      </c>
      <c r="N3" s="3">
        <f>'DtED MCModule 1 - Points Tracke'!P3+'DtED MCModule 1 - Points Tracke'!P8+'DtED MCModule 1 - Points Tracke'!P9+'DtED MCModule 1 - Points Tracke'!P10+'DtED MCModule 1 - Points Tracke'!P23</f>
        <v>57</v>
      </c>
      <c r="O3" s="3">
        <f>'DtED MCModule 1 - Points Tracke'!Q3+'DtED MCModule 1 - Points Tracke'!Q8+'DtED MCModule 1 - Points Tracke'!Q9+'DtED MCModule 1 - Points Tracke'!Q10+'DtED MCModule 1 - Points Tracke'!Q23</f>
        <v>9</v>
      </c>
      <c r="P3" s="3">
        <f>'DtED MCModule 1 - Points Tracke'!R3+'DtED MCModule 1 - Points Tracke'!R8+'DtED MCModule 1 - Points Tracke'!R9+'DtED MCModule 1 - Points Tracke'!R10+'DtED MCModule 1 - Points Tracke'!R23</f>
        <v>21</v>
      </c>
      <c r="Q3" s="3">
        <f>'DtED MCModule 1 - Points Tracke'!S3+'DtED MCModule 1 - Points Tracke'!S8+'DtED MCModule 1 - Points Tracke'!S9+'DtED MCModule 1 - Points Tracke'!S10+'DtED MCModule 1 - Points Tracke'!S23</f>
        <v>38</v>
      </c>
    </row>
    <row r="4" spans="1:17" ht="22.5" customHeight="1">
      <c r="A4" s="3" t="s">
        <v>176</v>
      </c>
      <c r="B4" s="3">
        <f>'DtED MCModule 1 - Points Tracke'!D4+'DtED MCModule 1 - Points Tracke'!D11+'DtED MCModule 1 - Points Tracke'!D12+'DtED MCModule 1 - Points Tracke'!D13+'DtED MCModule 1 - Points Tracke'!D24</f>
        <v>30</v>
      </c>
      <c r="C4" s="3">
        <f>'DtED MCModule 1 - Points Tracke'!E4+'DtED MCModule 1 - Points Tracke'!E11+'DtED MCModule 1 - Points Tracke'!E12+'DtED MCModule 1 - Points Tracke'!E13+'DtED MCModule 1 - Points Tracke'!E24</f>
        <v>57</v>
      </c>
      <c r="D4" s="3">
        <f>'DtED MCModule 1 - Points Tracke'!F4+'DtED MCModule 1 - Points Tracke'!F11+'DtED MCModule 1 - Points Tracke'!F12+'DtED MCModule 1 - Points Tracke'!F13+'DtED MCModule 1 - Points Tracke'!F24</f>
        <v>50</v>
      </c>
      <c r="E4" s="3">
        <f>'DtED MCModule 1 - Points Tracke'!G4+'DtED MCModule 1 - Points Tracke'!G11+'DtED MCModule 1 - Points Tracke'!G12+'DtED MCModule 1 - Points Tracke'!G13+'DtED MCModule 1 - Points Tracke'!G24</f>
        <v>46</v>
      </c>
      <c r="F4" s="3">
        <f>'DtED MCModule 1 - Points Tracke'!H4+'DtED MCModule 1 - Points Tracke'!H11+'DtED MCModule 1 - Points Tracke'!H12+'DtED MCModule 1 - Points Tracke'!H13+'DtED MCModule 1 - Points Tracke'!H24</f>
        <v>46</v>
      </c>
      <c r="G4" s="3">
        <f>'DtED MCModule 1 - Points Tracke'!I4+'DtED MCModule 1 - Points Tracke'!I11+'DtED MCModule 1 - Points Tracke'!I12+'DtED MCModule 1 - Points Tracke'!I13+'DtED MCModule 1 - Points Tracke'!I24</f>
        <v>27</v>
      </c>
      <c r="H4" s="3">
        <f>'DtED MCModule 1 - Points Tracke'!J4+'DtED MCModule 1 - Points Tracke'!J11+'DtED MCModule 1 - Points Tracke'!J12+'DtED MCModule 1 - Points Tracke'!J13+'DtED MCModule 1 - Points Tracke'!J24</f>
        <v>50</v>
      </c>
      <c r="I4" s="3">
        <f>'DtED MCModule 1 - Points Tracke'!K4+'DtED MCModule 1 - Points Tracke'!K11+'DtED MCModule 1 - Points Tracke'!K12+'DtED MCModule 1 - Points Tracke'!K13+'DtED MCModule 1 - Points Tracke'!K24</f>
        <v>21</v>
      </c>
      <c r="J4" s="3">
        <f>'DtED MCModule 1 - Points Tracke'!L4+'DtED MCModule 1 - Points Tracke'!L11+'DtED MCModule 1 - Points Tracke'!L12+'DtED MCModule 1 - Points Tracke'!L13+'DtED MCModule 1 - Points Tracke'!L24</f>
        <v>18</v>
      </c>
      <c r="K4" s="3">
        <f>'DtED MCModule 1 - Points Tracke'!M4+'DtED MCModule 1 - Points Tracke'!M11+'DtED MCModule 1 - Points Tracke'!M12+'DtED MCModule 1 - Points Tracke'!M13+'DtED MCModule 1 - Points Tracke'!M24</f>
        <v>46</v>
      </c>
      <c r="L4" s="3">
        <f>'DtED MCModule 1 - Points Tracke'!N4+'DtED MCModule 1 - Points Tracke'!N11+'DtED MCModule 1 - Points Tracke'!N12+'DtED MCModule 1 - Points Tracke'!N13+'DtED MCModule 1 - Points Tracke'!N24</f>
        <v>40</v>
      </c>
      <c r="M4" s="3">
        <f>'DtED MCModule 1 - Points Tracke'!O4+'DtED MCModule 1 - Points Tracke'!O11+'DtED MCModule 1 - Points Tracke'!O12+'DtED MCModule 1 - Points Tracke'!O13+'DtED MCModule 1 - Points Tracke'!O24</f>
        <v>30</v>
      </c>
      <c r="N4" s="3">
        <f>'DtED MCModule 1 - Points Tracke'!P4+'DtED MCModule 1 - Points Tracke'!P11+'DtED MCModule 1 - Points Tracke'!P12+'DtED MCModule 1 - Points Tracke'!P13+'DtED MCModule 1 - Points Tracke'!P24</f>
        <v>46</v>
      </c>
      <c r="O4" s="3">
        <f>'DtED MCModule 1 - Points Tracke'!Q4+'DtED MCModule 1 - Points Tracke'!Q11+'DtED MCModule 1 - Points Tracke'!Q12+'DtED MCModule 1 - Points Tracke'!Q13+'DtED MCModule 1 - Points Tracke'!Q24</f>
        <v>6</v>
      </c>
      <c r="P4" s="3">
        <f>'DtED MCModule 1 - Points Tracke'!R4+'DtED MCModule 1 - Points Tracke'!R11+'DtED MCModule 1 - Points Tracke'!R12+'DtED MCModule 1 - Points Tracke'!R13+'DtED MCModule 1 - Points Tracke'!R24</f>
        <v>15</v>
      </c>
      <c r="Q4" s="3">
        <f>'DtED MCModule 1 - Points Tracke'!S4+'DtED MCModule 1 - Points Tracke'!S11+'DtED MCModule 1 - Points Tracke'!S12+'DtED MCModule 1 - Points Tracke'!S13+'DtED MCModule 1 - Points Tracke'!S24</f>
        <v>46</v>
      </c>
    </row>
    <row r="5" spans="1:17" ht="22.5" customHeight="1">
      <c r="A5" s="3" t="s">
        <v>39</v>
      </c>
      <c r="B5" s="3">
        <f>'DtED MCModule 1 - Points Tracke'!D5+'DtED MCModule 1 - Points Tracke'!D14+'DtED MCModule 1 - Points Tracke'!D15+'DtED MCModule 1 - Points Tracke'!D16</f>
        <v>15</v>
      </c>
      <c r="C5" s="3">
        <f>'DtED MCModule 1 - Points Tracke'!E5+'DtED MCModule 1 - Points Tracke'!E14+'DtED MCModule 1 - Points Tracke'!E15+'DtED MCModule 1 - Points Tracke'!E16</f>
        <v>25</v>
      </c>
      <c r="D5" s="3">
        <f>'DtED MCModule 1 - Points Tracke'!F5+'DtED MCModule 1 - Points Tracke'!F14+'DtED MCModule 1 - Points Tracke'!F15+'DtED MCModule 1 - Points Tracke'!F16</f>
        <v>25</v>
      </c>
      <c r="E5" s="3">
        <f>'DtED MCModule 1 - Points Tracke'!G5+'DtED MCModule 1 - Points Tracke'!G14+'DtED MCModule 1 - Points Tracke'!G15+'DtED MCModule 1 - Points Tracke'!G16</f>
        <v>25</v>
      </c>
      <c r="F5" s="3">
        <f>'DtED MCModule 1 - Points Tracke'!H5+'DtED MCModule 1 - Points Tracke'!H14+'DtED MCModule 1 - Points Tracke'!H15+'DtED MCModule 1 - Points Tracke'!H16</f>
        <v>25</v>
      </c>
      <c r="G5" s="3">
        <f>'DtED MCModule 1 - Points Tracke'!I5+'DtED MCModule 1 - Points Tracke'!I14+'DtED MCModule 1 - Points Tracke'!I15+'DtED MCModule 1 - Points Tracke'!I16</f>
        <v>23</v>
      </c>
      <c r="H5" s="3">
        <f>'DtED MCModule 1 - Points Tracke'!J5+'DtED MCModule 1 - Points Tracke'!J14+'DtED MCModule 1 - Points Tracke'!J15+'DtED MCModule 1 - Points Tracke'!J16</f>
        <v>15</v>
      </c>
      <c r="I5" s="3">
        <f>'DtED MCModule 1 - Points Tracke'!K5+'DtED MCModule 1 - Points Tracke'!K14+'DtED MCModule 1 - Points Tracke'!K15+'DtED MCModule 1 - Points Tracke'!K16</f>
        <v>15</v>
      </c>
      <c r="J5" s="3">
        <f>'DtED MCModule 1 - Points Tracke'!L5+'DtED MCModule 1 - Points Tracke'!L14+'DtED MCModule 1 - Points Tracke'!L15+'DtED MCModule 1 - Points Tracke'!L16</f>
        <v>15</v>
      </c>
      <c r="K5" s="3">
        <f>'DtED MCModule 1 - Points Tracke'!M5+'DtED MCModule 1 - Points Tracke'!M14+'DtED MCModule 1 - Points Tracke'!M15+'DtED MCModule 1 - Points Tracke'!M16</f>
        <v>25</v>
      </c>
      <c r="L5" s="3">
        <f>'DtED MCModule 1 - Points Tracke'!N5+'DtED MCModule 1 - Points Tracke'!N14+'DtED MCModule 1 - Points Tracke'!N15+'DtED MCModule 1 - Points Tracke'!N16</f>
        <v>15</v>
      </c>
      <c r="M5" s="3">
        <f>'DtED MCModule 1 - Points Tracke'!O5+'DtED MCModule 1 - Points Tracke'!O14+'DtED MCModule 1 - Points Tracke'!O15+'DtED MCModule 1 - Points Tracke'!O16</f>
        <v>15</v>
      </c>
      <c r="N5" s="3">
        <f>'DtED MCModule 1 - Points Tracke'!P5+'DtED MCModule 1 - Points Tracke'!P14+'DtED MCModule 1 - Points Tracke'!P15+'DtED MCModule 1 - Points Tracke'!P16</f>
        <v>15</v>
      </c>
      <c r="O5" s="3">
        <f>'DtED MCModule 1 - Points Tracke'!Q5+'DtED MCModule 1 - Points Tracke'!Q14+'DtED MCModule 1 - Points Tracke'!Q15+'DtED MCModule 1 - Points Tracke'!Q16</f>
        <v>3</v>
      </c>
      <c r="P5" s="3">
        <f>'DtED MCModule 1 - Points Tracke'!R5+'DtED MCModule 1 - Points Tracke'!R14+'DtED MCModule 1 - Points Tracke'!R15+'DtED MCModule 1 - Points Tracke'!R16</f>
        <v>12</v>
      </c>
      <c r="Q5" s="3">
        <f>'DtED MCModule 1 - Points Tracke'!S5+'DtED MCModule 1 - Points Tracke'!S14+'DtED MCModule 1 - Points Tracke'!S15+'DtED MCModule 1 - Points Tracke'!S16</f>
        <v>23</v>
      </c>
    </row>
    <row r="6" spans="1:17" ht="22.5" customHeight="1">
      <c r="A6" s="3" t="s">
        <v>18</v>
      </c>
      <c r="B6" s="3">
        <f>'DtED MCModule 1 - Points Tracke'!D6+'DtED MCModule 1 - Points Tracke'!D17+'DtED MCModule 1 - Points Tracke'!D18+'DtED MCModule 1 - Points Tracke'!D19</f>
        <v>33</v>
      </c>
      <c r="C6" s="3">
        <f>'DtED MCModule 1 - Points Tracke'!E6+'DtED MCModule 1 - Points Tracke'!E17+'DtED MCModule 1 - Points Tracke'!E18+'DtED MCModule 1 - Points Tracke'!E19</f>
        <v>50</v>
      </c>
      <c r="D6" s="3">
        <f>'DtED MCModule 1 - Points Tracke'!F6+'DtED MCModule 1 - Points Tracke'!F17+'DtED MCModule 1 - Points Tracke'!F18+'DtED MCModule 1 - Points Tracke'!F19</f>
        <v>27</v>
      </c>
      <c r="E6" s="3">
        <f>'DtED MCModule 1 - Points Tracke'!G6+'DtED MCModule 1 - Points Tracke'!G17+'DtED MCModule 1 - Points Tracke'!G18+'DtED MCModule 1 - Points Tracke'!G19</f>
        <v>6</v>
      </c>
      <c r="F6" s="3">
        <f>'DtED MCModule 1 - Points Tracke'!H6+'DtED MCModule 1 - Points Tracke'!H17+'DtED MCModule 1 - Points Tracke'!H18+'DtED MCModule 1 - Points Tracke'!H19</f>
        <v>48</v>
      </c>
      <c r="G6" s="3">
        <f>'DtED MCModule 1 - Points Tracke'!I6+'DtED MCModule 1 - Points Tracke'!I17+'DtED MCModule 1 - Points Tracke'!I18+'DtED MCModule 1 - Points Tracke'!I19</f>
        <v>44</v>
      </c>
      <c r="H6" s="3">
        <f>'DtED MCModule 1 - Points Tracke'!J6+'DtED MCModule 1 - Points Tracke'!J17+'DtED MCModule 1 - Points Tracke'!J18+'DtED MCModule 1 - Points Tracke'!J19</f>
        <v>23</v>
      </c>
      <c r="I6" s="3">
        <f>'DtED MCModule 1 - Points Tracke'!K6+'DtED MCModule 1 - Points Tracke'!K17+'DtED MCModule 1 - Points Tracke'!K18+'DtED MCModule 1 - Points Tracke'!K19</f>
        <v>33</v>
      </c>
      <c r="J6" s="3">
        <f>'DtED MCModule 1 - Points Tracke'!L6+'DtED MCModule 1 - Points Tracke'!L17+'DtED MCModule 1 - Points Tracke'!L18+'DtED MCModule 1 - Points Tracke'!L19</f>
        <v>6</v>
      </c>
      <c r="K6" s="3">
        <f>'DtED MCModule 1 - Points Tracke'!M6+'DtED MCModule 1 - Points Tracke'!M17+'DtED MCModule 1 - Points Tracke'!M18+'DtED MCModule 1 - Points Tracke'!M19</f>
        <v>50</v>
      </c>
      <c r="L6" s="3">
        <f>'DtED MCModule 1 - Points Tracke'!N6+'DtED MCModule 1 - Points Tracke'!N17+'DtED MCModule 1 - Points Tracke'!N18+'DtED MCModule 1 - Points Tracke'!N19</f>
        <v>27</v>
      </c>
      <c r="M6" s="3">
        <f>'DtED MCModule 1 - Points Tracke'!O6+'DtED MCModule 1 - Points Tracke'!O17+'DtED MCModule 1 - Points Tracke'!O18+'DtED MCModule 1 - Points Tracke'!O19</f>
        <v>33</v>
      </c>
      <c r="N6" s="3">
        <f>'DtED MCModule 1 - Points Tracke'!P6+'DtED MCModule 1 - Points Tracke'!P17+'DtED MCModule 1 - Points Tracke'!P18+'DtED MCModule 1 - Points Tracke'!P19</f>
        <v>27</v>
      </c>
      <c r="O6" s="3">
        <f>'DtED MCModule 1 - Points Tracke'!Q6+'DtED MCModule 1 - Points Tracke'!Q17+'DtED MCModule 1 - Points Tracke'!Q18+'DtED MCModule 1 - Points Tracke'!Q19</f>
        <v>6</v>
      </c>
      <c r="P6" s="3">
        <f>'DtED MCModule 1 - Points Tracke'!R6+'DtED MCModule 1 - Points Tracke'!R17+'DtED MCModule 1 - Points Tracke'!R18+'DtED MCModule 1 - Points Tracke'!R19</f>
        <v>21</v>
      </c>
      <c r="Q6" s="3">
        <f>'DtED MCModule 1 - Points Tracke'!S6+'DtED MCModule 1 - Points Tracke'!S17+'DtED MCModule 1 - Points Tracke'!S18+'DtED MCModule 1 - Points Tracke'!S19</f>
        <v>33</v>
      </c>
    </row>
    <row r="7" spans="1:17" ht="22.5" customHeight="1">
      <c r="A7" s="3" t="s">
        <v>177</v>
      </c>
      <c r="B7" s="3">
        <f>'DtED MCModule 1 - Points Tracke'!D7+'DtED MCModule 1 - Points Tracke'!D20+'DtED MCModule 1 - Points Tracke'!D21+'DtED MCModule 1 - Points Tracke'!D22</f>
        <v>28</v>
      </c>
      <c r="C7" s="3">
        <f>'DtED MCModule 1 - Points Tracke'!E7+'DtED MCModule 1 - Points Tracke'!E20+'DtED MCModule 1 - Points Tracke'!E21+'DtED MCModule 1 - Points Tracke'!E22</f>
        <v>23</v>
      </c>
      <c r="D7" s="3">
        <f>'DtED MCModule 1 - Points Tracke'!F7+'DtED MCModule 1 - Points Tracke'!F20+'DtED MCModule 1 - Points Tracke'!F21+'DtED MCModule 1 - Points Tracke'!F22</f>
        <v>35</v>
      </c>
      <c r="E7" s="3">
        <f>'DtED MCModule 1 - Points Tracke'!G7+'DtED MCModule 1 - Points Tracke'!G20+'DtED MCModule 1 - Points Tracke'!G21+'DtED MCModule 1 - Points Tracke'!G22</f>
        <v>23</v>
      </c>
      <c r="F7" s="3">
        <f>'DtED MCModule 1 - Points Tracke'!H7+'DtED MCModule 1 - Points Tracke'!H20+'DtED MCModule 1 - Points Tracke'!H21+'DtED MCModule 1 - Points Tracke'!H22</f>
        <v>35</v>
      </c>
      <c r="G7" s="3">
        <f>'DtED MCModule 1 - Points Tracke'!I7+'DtED MCModule 1 - Points Tracke'!I20+'DtED MCModule 1 - Points Tracke'!I21+'DtED MCModule 1 - Points Tracke'!I22</f>
        <v>35</v>
      </c>
      <c r="H7" s="3">
        <f>'DtED MCModule 1 - Points Tracke'!J7+'DtED MCModule 1 - Points Tracke'!J20+'DtED MCModule 1 - Points Tracke'!J21+'DtED MCModule 1 - Points Tracke'!J22</f>
        <v>28</v>
      </c>
      <c r="I7" s="3">
        <f>'DtED MCModule 1 - Points Tracke'!K7+'DtED MCModule 1 - Points Tracke'!K20+'DtED MCModule 1 - Points Tracke'!K21+'DtED MCModule 1 - Points Tracke'!K22</f>
        <v>28</v>
      </c>
      <c r="J7" s="3">
        <f>'DtED MCModule 1 - Points Tracke'!L7+'DtED MCModule 1 - Points Tracke'!L20+'DtED MCModule 1 - Points Tracke'!L21+'DtED MCModule 1 - Points Tracke'!L22</f>
        <v>9</v>
      </c>
      <c r="K7" s="3">
        <f>'DtED MCModule 1 - Points Tracke'!M7+'DtED MCModule 1 - Points Tracke'!M20+'DtED MCModule 1 - Points Tracke'!M21+'DtED MCModule 1 - Points Tracke'!M22</f>
        <v>28</v>
      </c>
      <c r="L7" s="3">
        <f>'DtED MCModule 1 - Points Tracke'!N7+'DtED MCModule 1 - Points Tracke'!N20+'DtED MCModule 1 - Points Tracke'!N21+'DtED MCModule 1 - Points Tracke'!N22</f>
        <v>35</v>
      </c>
      <c r="M7" s="3">
        <f>'DtED MCModule 1 - Points Tracke'!O7+'DtED MCModule 1 - Points Tracke'!O20+'DtED MCModule 1 - Points Tracke'!O21+'DtED MCModule 1 - Points Tracke'!O22</f>
        <v>35</v>
      </c>
      <c r="N7" s="3">
        <f>'DtED MCModule 1 - Points Tracke'!P7+'DtED MCModule 1 - Points Tracke'!P20+'DtED MCModule 1 - Points Tracke'!P21+'DtED MCModule 1 - Points Tracke'!P22</f>
        <v>28</v>
      </c>
      <c r="O7" s="3">
        <f>'DtED MCModule 1 - Points Tracke'!Q7+'DtED MCModule 1 - Points Tracke'!Q20+'DtED MCModule 1 - Points Tracke'!Q21+'DtED MCModule 1 - Points Tracke'!Q22</f>
        <v>3</v>
      </c>
      <c r="P7" s="3">
        <f>'DtED MCModule 1 - Points Tracke'!R7+'DtED MCModule 1 - Points Tracke'!R20+'DtED MCModule 1 - Points Tracke'!R21+'DtED MCModule 1 - Points Tracke'!R22</f>
        <v>28</v>
      </c>
      <c r="Q7" s="3">
        <f>'DtED MCModule 1 - Points Tracke'!S7+'DtED MCModule 1 - Points Tracke'!S20+'DtED MCModule 1 - Points Tracke'!S21+'DtED MCModule 1 - Points Tracke'!S22</f>
        <v>28</v>
      </c>
    </row>
  </sheetData>
  <conditionalFormatting sqref="B3:Q7">
    <cfRule type="cellIs" dxfId="2" priority="1" operator="between">
      <formula>0</formula>
      <formula>30</formula>
    </cfRule>
    <cfRule type="cellIs" dxfId="1" priority="2" operator="between">
      <formula>31</formula>
      <formula>70</formula>
    </cfRule>
    <cfRule type="cellIs" dxfId="0" priority="3" operator="between">
      <formula>71</formula>
      <formula>120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7CEE82A449F848A6FF1D912D0C5289" ma:contentTypeVersion="19" ma:contentTypeDescription="Create a new document." ma:contentTypeScope="" ma:versionID="f74a604270901e9c648fa01b699e842b">
  <xsd:schema xmlns:xsd="http://www.w3.org/2001/XMLSchema" xmlns:xs="http://www.w3.org/2001/XMLSchema" xmlns:p="http://schemas.microsoft.com/office/2006/metadata/properties" xmlns:ns1="http://schemas.microsoft.com/sharepoint/v3" xmlns:ns2="efa3e513-8041-4053-858d-c5ab9c8b4ffb" xmlns:ns3="9c9104d7-23bf-46f0-895f-12a891ad2ae9" targetNamespace="http://schemas.microsoft.com/office/2006/metadata/properties" ma:root="true" ma:fieldsID="4b715902b576e17cef2a40ef6cb25cdf" ns1:_="" ns2:_="" ns3:_="">
    <xsd:import namespace="http://schemas.microsoft.com/sharepoint/v3"/>
    <xsd:import namespace="efa3e513-8041-4053-858d-c5ab9c8b4ffb"/>
    <xsd:import namespace="9c9104d7-23bf-46f0-895f-12a891ad2a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a3e513-8041-4053-858d-c5ab9c8b4f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ee4fd0a-b474-4a32-a144-dd33b07833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104d7-23bf-46f0-895f-12a891ad2ae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e6e7173-ba25-43a4-90d2-b78573d6a4fe}" ma:internalName="TaxCatchAll" ma:showField="CatchAllData" ma:web="9c9104d7-23bf-46f0-895f-12a891ad2a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fa3e513-8041-4053-858d-c5ab9c8b4ffb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fa3e513-8041-4053-858d-c5ab9c8b4ffb">
      <Terms xmlns="http://schemas.microsoft.com/office/infopath/2007/PartnerControls"/>
    </lcf76f155ced4ddcb4097134ff3c332f>
    <TaxCatchAll xmlns="9c9104d7-23bf-46f0-895f-12a891ad2ae9" xsi:nil="true"/>
  </documentManagement>
</p:properties>
</file>

<file path=customXml/itemProps1.xml><?xml version="1.0" encoding="utf-8"?>
<ds:datastoreItem xmlns:ds="http://schemas.openxmlformats.org/officeDocument/2006/customXml" ds:itemID="{C87EDED9-5719-4598-9CFE-4141CDCADF08}"/>
</file>

<file path=customXml/itemProps2.xml><?xml version="1.0" encoding="utf-8"?>
<ds:datastoreItem xmlns:ds="http://schemas.openxmlformats.org/officeDocument/2006/customXml" ds:itemID="{1411A2BE-B6DB-4E91-BF3A-3C30F4BB6166}"/>
</file>

<file path=customXml/itemProps3.xml><?xml version="1.0" encoding="utf-8"?>
<ds:datastoreItem xmlns:ds="http://schemas.openxmlformats.org/officeDocument/2006/customXml" ds:itemID="{7B77595A-0516-4B0C-B7C6-CFB1295BBDB4}"/>
</file>

<file path=docMetadata/LabelInfo.xml><?xml version="1.0" encoding="utf-8"?>
<clbl:labelList xmlns:clbl="http://schemas.microsoft.com/office/2020/mipLabelMetadata">
  <clbl:label id="{17151eb3-00ab-470c-b25c-644c7691e891}" enabled="1" method="Privileged" siteId="{3ded2960-214a-46ff-8cf4-611f125e23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Deb, Rick (Client Servicing &amp; Engagement Platform)</cp:lastModifiedBy>
  <cp:revision/>
  <dcterms:created xsi:type="dcterms:W3CDTF">2026-03-28T16:09:49Z</dcterms:created>
  <dcterms:modified xsi:type="dcterms:W3CDTF">2026-03-30T10:33:32Z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0x010100FA7CEE82A449F848A6FF1D912D0C5289</vt:lpwstr>
  </property>
</Properties>
</file>